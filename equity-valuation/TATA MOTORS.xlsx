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5E922EF-9B26-4AFB-BD23-F39C8E9C449C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OVER" sheetId="7" r:id="rId1"/>
    <sheet name="HIST_IS" sheetId="2" r:id="rId2"/>
    <sheet name="HIST_BS" sheetId="3" r:id="rId3"/>
    <sheet name="HIST_CFS" sheetId="4" r:id="rId4"/>
    <sheet name="ASSUMPTIONS" sheetId="5" r:id="rId5"/>
    <sheet name="ASSUMPTIONS VERIFIED" sheetId="8" r:id="rId6"/>
    <sheet name="FORECAST" sheetId="6" r:id="rId7"/>
    <sheet name="DCF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D16" i="5"/>
  <c r="E16" i="5"/>
  <c r="F16" i="5"/>
  <c r="B16" i="5"/>
  <c r="C15" i="5"/>
  <c r="D15" i="5"/>
  <c r="E15" i="5"/>
  <c r="F15" i="5"/>
  <c r="B15" i="5"/>
  <c r="C14" i="5"/>
  <c r="D14" i="5"/>
  <c r="E14" i="5"/>
  <c r="F14" i="5"/>
  <c r="B14" i="5"/>
  <c r="C9" i="5"/>
  <c r="D9" i="5"/>
  <c r="E9" i="5"/>
  <c r="F9" i="5"/>
  <c r="B9" i="5"/>
  <c r="C8" i="5"/>
  <c r="D8" i="5"/>
  <c r="E8" i="5"/>
  <c r="F8" i="5"/>
  <c r="B8" i="5"/>
  <c r="C7" i="5"/>
  <c r="D7" i="5"/>
  <c r="E7" i="5"/>
  <c r="F7" i="5"/>
  <c r="B7" i="5"/>
  <c r="D24" i="2"/>
  <c r="D25" i="2" s="1"/>
  <c r="D27" i="2" s="1"/>
  <c r="E24" i="2"/>
  <c r="E25" i="2" s="1"/>
  <c r="E27" i="2" s="1"/>
  <c r="F24" i="2"/>
  <c r="F25" i="2" s="1"/>
  <c r="G24" i="2"/>
  <c r="G25" i="2" s="1"/>
  <c r="C24" i="2"/>
  <c r="C25" i="2" s="1"/>
  <c r="C27" i="2" s="1"/>
  <c r="C16" i="4"/>
  <c r="D16" i="4"/>
  <c r="E16" i="4"/>
  <c r="F16" i="4"/>
  <c r="B16" i="4"/>
  <c r="B8" i="4"/>
  <c r="B12" i="4" s="1"/>
  <c r="B14" i="4" s="1"/>
  <c r="B17" i="4" s="1"/>
  <c r="D11" i="4"/>
  <c r="E11" i="4"/>
  <c r="F11" i="4"/>
  <c r="C11" i="4"/>
  <c r="C8" i="4"/>
  <c r="C12" i="4" s="1"/>
  <c r="D8" i="4"/>
  <c r="D12" i="4" s="1"/>
  <c r="E8" i="4"/>
  <c r="E12" i="4" s="1"/>
  <c r="F8" i="4"/>
  <c r="F12" i="4" s="1"/>
  <c r="C43" i="3"/>
  <c r="D43" i="3"/>
  <c r="E43" i="3"/>
  <c r="F43" i="3"/>
  <c r="B43" i="3"/>
  <c r="C41" i="3"/>
  <c r="D41" i="3"/>
  <c r="E41" i="3"/>
  <c r="F41" i="3"/>
  <c r="B41" i="3"/>
  <c r="C33" i="3"/>
  <c r="D33" i="3"/>
  <c r="E33" i="3"/>
  <c r="F33" i="3"/>
  <c r="B33" i="3"/>
  <c r="C19" i="3"/>
  <c r="D19" i="3"/>
  <c r="E19" i="3"/>
  <c r="F19" i="3"/>
  <c r="B19" i="3"/>
  <c r="D6" i="2"/>
  <c r="E6" i="2"/>
  <c r="D5" i="5" s="1"/>
  <c r="F6" i="2"/>
  <c r="E5" i="5" s="1"/>
  <c r="G6" i="2"/>
  <c r="F5" i="5" s="1"/>
  <c r="C6" i="2"/>
  <c r="G27" i="2" l="1"/>
  <c r="F10" i="5"/>
  <c r="F27" i="2"/>
  <c r="E10" i="5"/>
  <c r="C5" i="5"/>
  <c r="C14" i="4"/>
  <c r="C17" i="4" s="1"/>
  <c r="F14" i="4"/>
  <c r="F17" i="4" s="1"/>
  <c r="E14" i="4"/>
  <c r="E17" i="4" s="1"/>
  <c r="D14" i="4"/>
  <c r="D17" i="4" s="1"/>
</calcChain>
</file>

<file path=xl/sharedStrings.xml><?xml version="1.0" encoding="utf-8"?>
<sst xmlns="http://schemas.openxmlformats.org/spreadsheetml/2006/main" count="319" uniqueCount="150">
  <si>
    <t>COMPANY NAME</t>
  </si>
  <si>
    <t>TATA MOTORS</t>
  </si>
  <si>
    <t>MADE BY</t>
  </si>
  <si>
    <t>ADITYARAJ SINGH RATHORE</t>
  </si>
  <si>
    <t>DATE</t>
  </si>
  <si>
    <t>FINAL VALUATION RECOMMENDATION</t>
  </si>
  <si>
    <t>RECOMMENDATION</t>
  </si>
  <si>
    <t>TATA MOTORS HISTORICAL INCOME STATEMENT</t>
  </si>
  <si>
    <t>ALL FIGURES IN INR MILLIONS</t>
  </si>
  <si>
    <t>Line Item</t>
  </si>
  <si>
    <t>FY20</t>
  </si>
  <si>
    <t>FY21</t>
  </si>
  <si>
    <t>FY22</t>
  </si>
  <si>
    <t>FY23</t>
  </si>
  <si>
    <t>FY24</t>
  </si>
  <si>
    <t>I</t>
  </si>
  <si>
    <t>Revenue from Operations</t>
  </si>
  <si>
    <t>2610679.7</t>
  </si>
  <si>
    <t>2497947.5</t>
  </si>
  <si>
    <t>2784536.2</t>
  </si>
  <si>
    <t>3459669.7</t>
  </si>
  <si>
    <t>4340160</t>
  </si>
  <si>
    <t>II</t>
  </si>
  <si>
    <t>Other Income</t>
  </si>
  <si>
    <t>29731.5</t>
  </si>
  <si>
    <t>26431.9</t>
  </si>
  <si>
    <t>30536.3</t>
  </si>
  <si>
    <t>46331.8</t>
  </si>
  <si>
    <t>56920</t>
  </si>
  <si>
    <t>III</t>
  </si>
  <si>
    <t>Total Income</t>
  </si>
  <si>
    <t>IV</t>
  </si>
  <si>
    <t>Expenses</t>
  </si>
  <si>
    <t>Cost of materials consumed</t>
  </si>
  <si>
    <t>Purchases of products for sale</t>
  </si>
  <si>
    <t>223069.5</t>
  </si>
  <si>
    <t>Changes in inventories of finished goods, wip,products for sale</t>
  </si>
  <si>
    <t>47816.2</t>
  </si>
  <si>
    <t>Employee benefits expense</t>
  </si>
  <si>
    <t>336547</t>
  </si>
  <si>
    <t>Finance costs</t>
  </si>
  <si>
    <t>102254.8</t>
  </si>
  <si>
    <t>Compulsorily convertible preference share measured at Fair Value</t>
  </si>
  <si>
    <t>137.5</t>
  </si>
  <si>
    <t>Foreign exchange (gain)/loss (net)</t>
  </si>
  <si>
    <t>1038.8</t>
  </si>
  <si>
    <t>Depreciation and amortisation expense</t>
  </si>
  <si>
    <t>248603.6</t>
  </si>
  <si>
    <t>Product development/engineering expenses</t>
  </si>
  <si>
    <t>106619.6</t>
  </si>
  <si>
    <t>Other expenses</t>
  </si>
  <si>
    <t>617859.6</t>
  </si>
  <si>
    <t>Amount transferred to capital and other account</t>
  </si>
  <si>
    <t>184348.4</t>
  </si>
  <si>
    <t>TOTAL EXPENSES</t>
  </si>
  <si>
    <t>Cost of revenue (COGS)</t>
  </si>
  <si>
    <t>Gross Profit</t>
  </si>
  <si>
    <t>SG&amp;A</t>
  </si>
  <si>
    <t>V</t>
  </si>
  <si>
    <t>EBITDA</t>
  </si>
  <si>
    <t xml:space="preserve">EBIT </t>
  </si>
  <si>
    <t>VII</t>
  </si>
  <si>
    <t>Profit Before Taxes (PBT)</t>
  </si>
  <si>
    <t>VIII</t>
  </si>
  <si>
    <t>Total tax expense/(credit) (net)</t>
  </si>
  <si>
    <t>XI</t>
  </si>
  <si>
    <t>Profit After Taxes (PAT)</t>
  </si>
  <si>
    <t>XIV</t>
  </si>
  <si>
    <t>Earnings per equity share (EPS)</t>
  </si>
  <si>
    <t>Basic EPS</t>
  </si>
  <si>
    <t>Diluted EPS</t>
  </si>
  <si>
    <t>Tata Motors - Historical Balance Sheet</t>
  </si>
  <si>
    <t>(All figures in INR Millions)</t>
  </si>
  <si>
    <t>ASSETS</t>
  </si>
  <si>
    <t>Non-Current Assets</t>
  </si>
  <si>
    <t>Property, Plant and Equipment</t>
  </si>
  <si>
    <t>Intangible assets</t>
  </si>
  <si>
    <t>Investments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</si>
  <si>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</si>
  <si>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</si>
  <si>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</si>
  <si>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</si>
  <si>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</si>
  <si>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</si>
  <si>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Current Assets</t>
  </si>
  <si>
    <t>Total Current Assets</t>
  </si>
  <si>
    <t>TOTAL ASSETS</t>
  </si>
  <si>
    <t>LIABILITIES &amp; EQUITY</t>
  </si>
  <si>
    <t>Current Liabilities</t>
  </si>
  <si>
    <t>Borrowings (Short-term)</t>
  </si>
  <si>
    <t>Trade payables</t>
  </si>
  <si>
    <t>Other Current Liabilities</t>
  </si>
  <si>
    <t>Total Current Liabilities</t>
  </si>
  <si>
    <t>Non-Current Liabilities</t>
  </si>
  <si>
    <t>Borrowings (Long-term)</t>
  </si>
  <si>
    <t>Other Non-Current Liabilities</t>
  </si>
  <si>
    <t>Total Non-Current Liabilities</t>
  </si>
  <si>
    <t>Total Liabilities</t>
  </si>
  <si>
    <t>Shareholders' Equity</t>
  </si>
  <si>
    <t>Share capital</t>
  </si>
  <si>
    <t>Retained Earnings</t>
  </si>
  <si>
    <t>Other Equity</t>
  </si>
  <si>
    <t>Total Shareholders' Equity</t>
  </si>
  <si>
    <t>TOTAL LIABILITIES &amp; EQUITY</t>
  </si>
  <si>
    <t>BALANCE CHECK</t>
  </si>
  <si>
    <t>Tata Motors - Historical Cash Flow Statement</t>
  </si>
  <si>
    <t>Cash Flow Summary</t>
  </si>
  <si>
    <t>Net Cash from Operating Activities (CFO)</t>
  </si>
  <si>
    <t>Net Cash from Investing Activities (CFI)</t>
  </si>
  <si>
    <t>Net Cash from Financing Activities (CFF)</t>
  </si>
  <si>
    <t>Net Change in Cash (CFO+CFI+CFF)</t>
  </si>
  <si>
    <t>THE CASH CHECK</t>
  </si>
  <si>
    <t>Cash at Beginning of Year</t>
  </si>
  <si>
    <t>Add: Net Change in Cash</t>
  </si>
  <si>
    <t>Balancing Plug (FX, M&amp;A, etc.)</t>
  </si>
  <si>
    <t>Calculated Cash at End of Year</t>
  </si>
  <si>
    <t>Cash from Balance Sheet (EoY)</t>
  </si>
  <si>
    <t>CHECK (Difference)</t>
  </si>
  <si>
    <t>Model Assumptions &amp; Analysis</t>
  </si>
  <si>
    <t>Historical Analysis</t>
  </si>
  <si>
    <t>INCOME STATEMENT</t>
  </si>
  <si>
    <t>Revenue Growth</t>
  </si>
  <si>
    <t>(N/A)</t>
  </si>
  <si>
    <t>% of Total Revenue</t>
  </si>
  <si>
    <t>Cost of Revenue (COGS)</t>
  </si>
  <si>
    <t>Depreciation &amp; Amortisation</t>
  </si>
  <si>
    <t>Tax Rate (% of PBT)</t>
  </si>
  <si>
    <t>BALANCE SHEET</t>
  </si>
  <si>
    <t>Trade Receivables</t>
  </si>
  <si>
    <t>Trade Payables</t>
  </si>
  <si>
    <t>CASH FLOW</t>
  </si>
  <si>
    <t>Tata Motors - Final Model Assumptions</t>
  </si>
  <si>
    <t>All formulas are based on the 100% VERIFIED historical data.</t>
  </si>
  <si>
    <t>Forecast Assumptions</t>
  </si>
  <si>
    <t xml:space="preserve">
</t>
  </si>
  <si>
    <t>FY25</t>
  </si>
  <si>
    <t>FY26</t>
  </si>
  <si>
    <t>FY27</t>
  </si>
  <si>
    <t>FY28</t>
  </si>
  <si>
    <t>FY29</t>
  </si>
  <si>
    <t>N/A</t>
  </si>
  <si>
    <t>[Blue]</t>
  </si>
  <si>
    <t>Selling, General &amp; Admin (SG&amp;A)</t>
  </si>
  <si>
    <t>Effective Tax Rate (% of PBT)</t>
  </si>
  <si>
    <t>CASH FLOW DRIVER</t>
  </si>
  <si>
    <t>CapEx as % of Revenue</t>
  </si>
  <si>
    <t>WORKING CAPITAL (DAYS)</t>
  </si>
  <si>
    <t>Days Sales Outstanding (DSO)</t>
  </si>
  <si>
    <t>Days Inventory Outstanding (DIO)</t>
  </si>
  <si>
    <t>Days Payables Outstanding (DPO)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</si>
</sst>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rgb="FF1B1C1D"/>
      <name val="Google Sans Text"/>
      <family val="2"/>
      <charset val="1"/>
    </font>
    <font>
      <b/>
      <sz val="11"/>
      <color rgb="FF1B1C1D"/>
      <name val="Google Sans Text"/>
      <family val="2"/>
      <charset val="1"/>
    </font>
    <font>
      <b/>
      <sz val="11"/>
      <color rgb="FF1B1C1D"/>
      <name val="Google Sans Text"/>
    </font>
    <font>
      <sz val="11"/>
      <color rgb="FF1B1C1D"/>
      <name val="Google Sans Text"/>
    </font>
    <font>
      <sz val="11"/>
      <color rgb="FF43AEE2"/>
      <name val="Google Sans Text"/>
    </font>
    <font>
      <sz val="11"/>
      <color theme="4" tint="0.39997558519241921"/>
      <name val="Google Sans Text"/>
    </font>
    <font>
      <b/>
      <sz val="11"/>
      <color theme="4" tint="0.39997558519241921"/>
      <name val="Google Sans Text"/>
      <family val="2"/>
      <charset val="1"/>
    </font>
    <font>
      <sz val="11"/>
      <color theme="4" tint="0.39997558519241921"/>
      <name val="Google Sans Text"/>
      <family val="2"/>
      <charset val="1"/>
    </font>
    <font>
      <b/>
      <sz val="11"/>
      <color theme="1"/>
      <name val="Google Sans Text"/>
      <family val="2"/>
      <charset val="1"/>
    </font>
    <font>
      <b/>
      <sz val="11"/>
      <color theme="1"/>
      <name val="Aptos Narrow"/>
      <family val="2"/>
      <scheme val="minor"/>
    </font>
    <font>
      <i/>
      <sz val="11"/>
      <color rgb="FF1B1C1D"/>
      <name val="Google Sans Text"/>
      <family val="2"/>
      <charset val="1"/>
    </font>
    <font>
      <sz val="11"/>
      <color theme="4" tint="0.3999755851924192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1"/>
      <color theme="1"/>
      <name val="Batang"/>
    </font>
    <font>
      <b/>
      <sz val="24"/>
      <color rgb="FF1B1C1D"/>
      <name val="Google Sans"/>
      <family val="2"/>
      <charset val="1"/>
    </font>
    <font>
      <b/>
      <i/>
      <sz val="11"/>
      <color rgb="FF1B1C1D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rgb="FF1B1C1D"/>
      </left>
      <right/>
      <top style="thin">
        <color rgb="FF1B1C1D"/>
      </top>
      <bottom style="thin">
        <color rgb="FF1B1C1D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1B1C1D"/>
      </left>
      <right/>
      <top style="thin">
        <color rgb="FF1B1C1D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/>
    </xf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0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0" fillId="0" borderId="0" xfId="0" applyBorder="1"/>
    <xf numFmtId="0" fontId="2" fillId="0" borderId="2" xfId="0" applyFont="1" applyBorder="1" applyAlignment="1">
      <alignment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2" fillId="0" borderId="3" xfId="0" applyFont="1" applyBorder="1" applyAlignment="1">
      <alignment readingOrder="1"/>
    </xf>
    <xf numFmtId="49" fontId="1" fillId="0" borderId="1" xfId="0" applyNumberFormat="1" applyFont="1" applyBorder="1" applyAlignment="1">
      <alignment readingOrder="1"/>
    </xf>
    <xf numFmtId="49" fontId="5" fillId="0" borderId="1" xfId="0" applyNumberFormat="1" applyFont="1" applyBorder="1" applyAlignment="1">
      <alignment horizontal="right" readingOrder="1"/>
    </xf>
    <xf numFmtId="2" fontId="2" fillId="0" borderId="0" xfId="0" applyNumberFormat="1" applyFont="1" applyBorder="1" applyAlignment="1">
      <alignment readingOrder="1"/>
    </xf>
    <xf numFmtId="2" fontId="2" fillId="0" borderId="1" xfId="0" applyNumberFormat="1" applyFont="1" applyBorder="1" applyAlignment="1">
      <alignment wrapText="1" readingOrder="1"/>
    </xf>
    <xf numFmtId="0" fontId="2" fillId="0" borderId="4" xfId="0" applyFont="1" applyBorder="1" applyAlignment="1">
      <alignment readingOrder="1"/>
    </xf>
    <xf numFmtId="2" fontId="2" fillId="0" borderId="4" xfId="0" applyNumberFormat="1" applyFont="1" applyBorder="1" applyAlignment="1">
      <alignment wrapText="1" readingOrder="1"/>
    </xf>
    <xf numFmtId="0" fontId="1" fillId="0" borderId="4" xfId="0" applyFont="1" applyBorder="1" applyAlignment="1">
      <alignment readingOrder="1"/>
    </xf>
    <xf numFmtId="0" fontId="0" fillId="0" borderId="4" xfId="0" applyBorder="1"/>
    <xf numFmtId="0" fontId="2" fillId="0" borderId="6" xfId="0" applyFont="1" applyBorder="1" applyAlignment="1">
      <alignment readingOrder="1"/>
    </xf>
    <xf numFmtId="0" fontId="0" fillId="0" borderId="8" xfId="0" applyBorder="1"/>
    <xf numFmtId="0" fontId="6" fillId="0" borderId="1" xfId="0" applyNumberFormat="1" applyFont="1" applyBorder="1" applyAlignment="1">
      <alignment horizontal="right" readingOrder="1"/>
    </xf>
    <xf numFmtId="0" fontId="8" fillId="0" borderId="1" xfId="0" applyNumberFormat="1" applyFont="1" applyBorder="1" applyAlignment="1">
      <alignment readingOrder="1"/>
    </xf>
    <xf numFmtId="0" fontId="7" fillId="0" borderId="1" xfId="0" applyNumberFormat="1" applyFont="1" applyBorder="1" applyAlignment="1">
      <alignment readingOrder="1"/>
    </xf>
    <xf numFmtId="0" fontId="8" fillId="0" borderId="1" xfId="0" applyNumberFormat="1" applyFont="1" applyBorder="1" applyAlignment="1">
      <alignment wrapText="1" readingOrder="1"/>
    </xf>
    <xf numFmtId="0" fontId="7" fillId="0" borderId="3" xfId="0" applyNumberFormat="1" applyFont="1" applyBorder="1" applyAlignment="1">
      <alignment readingOrder="1"/>
    </xf>
    <xf numFmtId="0" fontId="8" fillId="0" borderId="1" xfId="0" applyNumberFormat="1" applyFont="1" applyBorder="1" applyAlignment="1">
      <alignment horizontal="right" readingOrder="1"/>
    </xf>
    <xf numFmtId="0" fontId="7" fillId="0" borderId="1" xfId="0" applyNumberFormat="1" applyFont="1" applyBorder="1" applyAlignment="1">
      <alignment horizontal="right" readingOrder="1"/>
    </xf>
    <xf numFmtId="0" fontId="8" fillId="0" borderId="1" xfId="0" applyNumberFormat="1" applyFont="1" applyBorder="1" applyAlignment="1">
      <alignment horizontal="right" wrapText="1" readingOrder="1"/>
    </xf>
    <xf numFmtId="0" fontId="7" fillId="0" borderId="3" xfId="0" applyNumberFormat="1" applyFont="1" applyBorder="1" applyAlignment="1">
      <alignment horizontal="right" readingOrder="1"/>
    </xf>
    <xf numFmtId="2" fontId="9" fillId="0" borderId="1" xfId="0" applyNumberFormat="1" applyFont="1" applyBorder="1" applyAlignment="1">
      <alignment horizontal="right" wrapText="1" readingOrder="1"/>
    </xf>
    <xf numFmtId="49" fontId="8" fillId="0" borderId="2" xfId="0" applyNumberFormat="1" applyFont="1" applyBorder="1" applyAlignment="1">
      <alignment horizontal="right" readingOrder="1"/>
    </xf>
    <xf numFmtId="0" fontId="8" fillId="0" borderId="2" xfId="0" applyNumberFormat="1" applyFont="1" applyBorder="1" applyAlignment="1">
      <alignment horizontal="right" readingOrder="1"/>
    </xf>
    <xf numFmtId="0" fontId="7" fillId="0" borderId="2" xfId="0" applyNumberFormat="1" applyFont="1" applyBorder="1" applyAlignment="1">
      <alignment horizontal="right" readingOrder="1"/>
    </xf>
    <xf numFmtId="0" fontId="8" fillId="0" borderId="2" xfId="0" applyNumberFormat="1" applyFont="1" applyBorder="1" applyAlignment="1">
      <alignment horizontal="right" wrapText="1" readingOrder="1"/>
    </xf>
    <xf numFmtId="0" fontId="7" fillId="0" borderId="5" xfId="0" applyNumberFormat="1" applyFont="1" applyBorder="1" applyAlignment="1">
      <alignment horizontal="right" readingOrder="1"/>
    </xf>
    <xf numFmtId="2" fontId="9" fillId="0" borderId="2" xfId="0" applyNumberFormat="1" applyFont="1" applyBorder="1" applyAlignment="1">
      <alignment horizontal="right" wrapText="1" readingOrder="1"/>
    </xf>
    <xf numFmtId="0" fontId="9" fillId="0" borderId="1" xfId="0" applyNumberFormat="1" applyFont="1" applyBorder="1" applyAlignment="1">
      <alignment readingOrder="1"/>
    </xf>
    <xf numFmtId="2" fontId="9" fillId="0" borderId="1" xfId="0" applyNumberFormat="1" applyFont="1" applyBorder="1" applyAlignment="1">
      <alignment wrapText="1" readingOrder="1"/>
    </xf>
    <xf numFmtId="49" fontId="8" fillId="0" borderId="1" xfId="0" applyNumberFormat="1" applyFont="1" applyBorder="1" applyAlignment="1">
      <alignment readingOrder="1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readingOrder="1"/>
    </xf>
    <xf numFmtId="3" fontId="1" fillId="0" borderId="1" xfId="0" applyNumberFormat="1" applyFont="1" applyBorder="1" applyAlignment="1">
      <alignment readingOrder="1"/>
    </xf>
    <xf numFmtId="3" fontId="2" fillId="0" borderId="1" xfId="0" applyNumberFormat="1" applyFont="1" applyBorder="1" applyAlignment="1">
      <alignment readingOrder="1"/>
    </xf>
    <xf numFmtId="3" fontId="0" fillId="0" borderId="0" xfId="0" applyNumberFormat="1"/>
    <xf numFmtId="0" fontId="10" fillId="0" borderId="0" xfId="0" applyFont="1" applyAlignment="1">
      <alignment wrapText="1"/>
    </xf>
    <xf numFmtId="0" fontId="12" fillId="0" borderId="0" xfId="0" applyFont="1"/>
    <xf numFmtId="3" fontId="7" fillId="0" borderId="1" xfId="0" applyNumberFormat="1" applyFont="1" applyBorder="1" applyAlignment="1">
      <alignment readingOrder="1"/>
    </xf>
    <xf numFmtId="3" fontId="13" fillId="0" borderId="0" xfId="0" applyNumberFormat="1" applyFont="1"/>
    <xf numFmtId="0" fontId="14" fillId="0" borderId="0" xfId="0" applyFont="1"/>
    <xf numFmtId="10" fontId="1" fillId="0" borderId="1" xfId="0" applyNumberFormat="1" applyFont="1" applyBorder="1" applyAlignment="1">
      <alignment readingOrder="1"/>
    </xf>
    <xf numFmtId="10" fontId="1" fillId="0" borderId="1" xfId="0" applyNumberFormat="1" applyFont="1" applyBorder="1" applyAlignment="1">
      <alignment wrapText="1" readingOrder="1"/>
    </xf>
    <xf numFmtId="4" fontId="12" fillId="0" borderId="0" xfId="0" applyNumberFormat="1" applyFont="1"/>
    <xf numFmtId="0" fontId="9" fillId="2" borderId="1" xfId="0" applyNumberFormat="1" applyFont="1" applyFill="1" applyBorder="1" applyAlignment="1">
      <alignment readingOrder="1"/>
    </xf>
    <xf numFmtId="0" fontId="15" fillId="0" borderId="0" xfId="0" applyFont="1" applyBorder="1" applyAlignment="1">
      <alignment readingOrder="1"/>
    </xf>
    <xf numFmtId="10" fontId="2" fillId="0" borderId="1" xfId="0" applyNumberFormat="1" applyFont="1" applyBorder="1" applyAlignment="1">
      <alignment readingOrder="1"/>
    </xf>
    <xf numFmtId="0" fontId="16" fillId="0" borderId="1" xfId="0" applyFont="1" applyBorder="1" applyAlignment="1">
      <alignment readingOrder="1"/>
    </xf>
    <xf numFmtId="0" fontId="0" fillId="0" borderId="9" xfId="0" applyBorder="1"/>
    <xf numFmtId="0" fontId="1" fillId="0" borderId="2" xfId="0" applyFont="1" applyBorder="1" applyAlignment="1">
      <alignment readingOrder="1"/>
    </xf>
    <xf numFmtId="10" fontId="1" fillId="0" borderId="2" xfId="0" applyNumberFormat="1" applyFont="1" applyBorder="1" applyAlignment="1">
      <alignment readingOrder="1"/>
    </xf>
    <xf numFmtId="10" fontId="1" fillId="0" borderId="2" xfId="0" applyNumberFormat="1" applyFont="1" applyBorder="1" applyAlignment="1">
      <alignment wrapText="1" readingOrder="1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800E-3DFB-4809-B4A9-4090F1A0011F}">
  <dimension ref="D4:E9"/>
  <sheetViews>
    <sheetView workbookViewId="0">
      <selection activeCell="D8" sqref="D8"/>
    </sheetView>
  </sheetViews>
  <sheetFormatPr defaultRowHeight="15"/>
  <cols>
    <col min="4" max="4" width="35.7109375" customWidth="1"/>
    <col min="5" max="5" width="31.5703125" customWidth="1"/>
  </cols>
  <sheetData>
    <row r="4" spans="4:5" ht="12.75" customHeight="1"/>
    <row r="5" spans="4:5" ht="12.75" customHeight="1">
      <c r="D5" s="1" t="s">
        <v>0</v>
      </c>
      <c r="E5" s="1" t="s">
        <v>1</v>
      </c>
    </row>
    <row r="6" spans="4:5">
      <c r="D6" s="1" t="s">
        <v>2</v>
      </c>
      <c r="E6" s="3" t="s">
        <v>3</v>
      </c>
    </row>
    <row r="7" spans="4:5" ht="18.75" customHeight="1">
      <c r="D7" s="1" t="s">
        <v>4</v>
      </c>
      <c r="E7" s="4">
        <v>45966</v>
      </c>
    </row>
    <row r="8" spans="4:5" ht="22.5" customHeight="1">
      <c r="D8" s="3" t="s">
        <v>5</v>
      </c>
      <c r="E8" s="1"/>
    </row>
    <row r="9" spans="4:5">
      <c r="D9" s="1" t="s">
        <v>6</v>
      </c>
      <c r="E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C747-5802-433D-8424-1B62180E0ADE}">
  <dimension ref="A1:L43"/>
  <sheetViews>
    <sheetView workbookViewId="0">
      <selection activeCell="H8" sqref="H8"/>
    </sheetView>
  </sheetViews>
  <sheetFormatPr defaultRowHeight="15"/>
  <cols>
    <col min="2" max="2" width="60" customWidth="1"/>
    <col min="3" max="4" width="12.85546875" customWidth="1"/>
    <col min="5" max="5" width="13.5703125" customWidth="1"/>
    <col min="6" max="6" width="13.7109375" customWidth="1"/>
    <col min="7" max="7" width="14.28515625" customWidth="1"/>
  </cols>
  <sheetData>
    <row r="1" spans="1:12" ht="29.25">
      <c r="B1" s="2" t="s">
        <v>7</v>
      </c>
    </row>
    <row r="2" spans="1:12">
      <c r="B2" t="s">
        <v>8</v>
      </c>
    </row>
    <row r="3" spans="1:12">
      <c r="A3" s="45"/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10" t="s">
        <v>14</v>
      </c>
      <c r="H3" s="20"/>
      <c r="I3" s="7"/>
      <c r="J3" s="7"/>
      <c r="K3" s="7"/>
      <c r="L3" s="7"/>
    </row>
    <row r="4" spans="1:12">
      <c r="A4" s="46" t="s">
        <v>15</v>
      </c>
      <c r="B4" s="6" t="s">
        <v>16</v>
      </c>
      <c r="C4" s="44" t="s">
        <v>17</v>
      </c>
      <c r="D4" s="44" t="s">
        <v>18</v>
      </c>
      <c r="E4" s="17" t="s">
        <v>19</v>
      </c>
      <c r="F4" s="26" t="s">
        <v>20</v>
      </c>
      <c r="G4" s="36" t="s">
        <v>21</v>
      </c>
      <c r="H4" s="20"/>
      <c r="I4" s="7"/>
      <c r="J4" s="8"/>
      <c r="K4" s="8"/>
      <c r="L4" s="8"/>
    </row>
    <row r="5" spans="1:12">
      <c r="A5" s="46" t="s">
        <v>22</v>
      </c>
      <c r="B5" s="6" t="s">
        <v>23</v>
      </c>
      <c r="C5" s="44" t="s">
        <v>24</v>
      </c>
      <c r="D5" s="44" t="s">
        <v>25</v>
      </c>
      <c r="E5" s="17" t="s">
        <v>26</v>
      </c>
      <c r="F5" s="26" t="s">
        <v>27</v>
      </c>
      <c r="G5" s="36" t="s">
        <v>28</v>
      </c>
      <c r="H5" s="20"/>
      <c r="I5" s="18"/>
      <c r="J5" s="8"/>
      <c r="K5" s="8"/>
      <c r="L5" s="8"/>
    </row>
    <row r="6" spans="1:12">
      <c r="A6" s="46" t="s">
        <v>29</v>
      </c>
      <c r="B6" s="6" t="s">
        <v>30</v>
      </c>
      <c r="C6" s="43">
        <f>C4+C5</f>
        <v>2640411.2000000002</v>
      </c>
      <c r="D6" s="43">
        <f t="shared" ref="D6:H6" si="0">D4+D5</f>
        <v>2524379.4</v>
      </c>
      <c r="E6" s="19">
        <f t="shared" si="0"/>
        <v>2815072.5</v>
      </c>
      <c r="F6" s="35">
        <f t="shared" si="0"/>
        <v>3506001.5</v>
      </c>
      <c r="G6" s="41">
        <f t="shared" si="0"/>
        <v>4397080</v>
      </c>
      <c r="H6" s="21"/>
      <c r="I6" s="7"/>
      <c r="J6" s="7"/>
      <c r="K6" s="7"/>
      <c r="L6" s="7"/>
    </row>
    <row r="7" spans="1:12">
      <c r="A7" s="46" t="s">
        <v>31</v>
      </c>
      <c r="B7" s="6" t="s">
        <v>32</v>
      </c>
      <c r="C7" s="44"/>
      <c r="D7" s="44"/>
      <c r="E7" s="16"/>
      <c r="F7" s="31"/>
      <c r="G7" s="36"/>
      <c r="H7" s="22"/>
      <c r="I7" s="8"/>
      <c r="J7" s="8"/>
      <c r="K7" s="8"/>
      <c r="L7" s="8"/>
    </row>
    <row r="8" spans="1:12">
      <c r="A8" s="46"/>
      <c r="B8" s="5" t="s">
        <v>33</v>
      </c>
      <c r="C8" s="27">
        <v>1657151.1</v>
      </c>
      <c r="D8" s="27">
        <v>1413924.3</v>
      </c>
      <c r="E8" s="27">
        <v>1595980.6</v>
      </c>
      <c r="F8" s="31">
        <v>2082180.5</v>
      </c>
      <c r="G8" s="37">
        <v>2492780</v>
      </c>
      <c r="H8" s="20"/>
      <c r="I8" s="7"/>
      <c r="J8" s="8"/>
      <c r="K8" s="8"/>
      <c r="L8" s="8"/>
    </row>
    <row r="9" spans="1:12">
      <c r="A9" s="46"/>
      <c r="B9" s="5" t="s">
        <v>34</v>
      </c>
      <c r="C9" s="27">
        <v>150078.20000000001</v>
      </c>
      <c r="D9" s="27">
        <v>122500.9</v>
      </c>
      <c r="E9" s="27">
        <v>183747.7</v>
      </c>
      <c r="F9" s="31" t="s">
        <v>35</v>
      </c>
      <c r="G9" s="37">
        <v>250430</v>
      </c>
      <c r="H9" s="20"/>
      <c r="I9" s="7"/>
      <c r="J9" s="8"/>
      <c r="K9" s="8"/>
      <c r="L9" s="8"/>
    </row>
    <row r="10" spans="1:12" ht="16.5">
      <c r="A10" s="46"/>
      <c r="B10" s="13" t="s">
        <v>36</v>
      </c>
      <c r="C10" s="27">
        <v>15658.1</v>
      </c>
      <c r="D10" s="27">
        <v>46841.599999999999</v>
      </c>
      <c r="E10" s="27">
        <v>15904.9</v>
      </c>
      <c r="F10" s="31" t="s">
        <v>37</v>
      </c>
      <c r="G10" s="37">
        <v>15660</v>
      </c>
      <c r="H10" s="20"/>
      <c r="I10" s="7"/>
      <c r="J10" s="8"/>
      <c r="K10" s="8"/>
      <c r="L10" s="8"/>
    </row>
    <row r="11" spans="1:12">
      <c r="A11" s="46"/>
      <c r="B11" s="5" t="s">
        <v>38</v>
      </c>
      <c r="C11" s="27">
        <v>304386</v>
      </c>
      <c r="D11" s="27">
        <v>276484.8</v>
      </c>
      <c r="E11" s="27">
        <v>308085.2</v>
      </c>
      <c r="F11" s="31" t="s">
        <v>39</v>
      </c>
      <c r="G11" s="37">
        <v>419900</v>
      </c>
      <c r="H11" s="20"/>
      <c r="I11" s="7"/>
      <c r="J11" s="7"/>
      <c r="K11" s="7"/>
      <c r="L11" s="7"/>
    </row>
    <row r="12" spans="1:12">
      <c r="A12" s="46"/>
      <c r="B12" s="5" t="s">
        <v>40</v>
      </c>
      <c r="C12" s="27">
        <v>72433.3</v>
      </c>
      <c r="D12" s="27">
        <v>80971.7</v>
      </c>
      <c r="E12" s="27">
        <v>93118.6</v>
      </c>
      <c r="F12" s="31" t="s">
        <v>41</v>
      </c>
      <c r="G12" s="37">
        <v>75940</v>
      </c>
      <c r="H12" s="20"/>
      <c r="I12" s="7"/>
      <c r="J12" s="7"/>
      <c r="K12" s="7"/>
      <c r="L12" s="7"/>
    </row>
    <row r="13" spans="1:12" ht="15.75" customHeight="1">
      <c r="A13" s="46"/>
      <c r="B13" s="14" t="s">
        <v>42</v>
      </c>
      <c r="C13" s="27"/>
      <c r="D13" s="27"/>
      <c r="E13" s="27">
        <v>144.5</v>
      </c>
      <c r="F13" s="31" t="s">
        <v>43</v>
      </c>
      <c r="G13" s="37">
        <v>480</v>
      </c>
      <c r="H13" s="22"/>
      <c r="I13" s="8"/>
      <c r="J13" s="8"/>
      <c r="K13" s="8"/>
      <c r="L13" s="8"/>
    </row>
    <row r="14" spans="1:12">
      <c r="A14" s="46"/>
      <c r="B14" s="5" t="s">
        <v>44</v>
      </c>
      <c r="C14" s="27">
        <v>17387.400000000001</v>
      </c>
      <c r="D14" s="27">
        <v>17321.5</v>
      </c>
      <c r="E14" s="27">
        <v>786.8</v>
      </c>
      <c r="F14" s="31" t="s">
        <v>45</v>
      </c>
      <c r="G14" s="37">
        <v>150</v>
      </c>
      <c r="H14" s="20"/>
      <c r="I14" s="7"/>
      <c r="J14" s="8"/>
      <c r="K14" s="8"/>
      <c r="L14" s="8"/>
    </row>
    <row r="15" spans="1:12" ht="16.5">
      <c r="A15" s="46"/>
      <c r="B15" s="13" t="s">
        <v>46</v>
      </c>
      <c r="C15" s="27">
        <v>239443.3</v>
      </c>
      <c r="D15" s="27">
        <v>235467.1</v>
      </c>
      <c r="E15" s="27">
        <v>248356.9</v>
      </c>
      <c r="F15" s="31" t="s">
        <v>47</v>
      </c>
      <c r="G15" s="37">
        <v>272390</v>
      </c>
      <c r="H15" s="20"/>
      <c r="I15" s="7"/>
      <c r="J15" s="7"/>
      <c r="K15" s="7"/>
      <c r="L15" s="7"/>
    </row>
    <row r="16" spans="1:12" ht="18.75" customHeight="1">
      <c r="A16" s="46"/>
      <c r="B16" s="13" t="s">
        <v>48</v>
      </c>
      <c r="C16" s="27">
        <v>41884.9</v>
      </c>
      <c r="D16" s="27">
        <v>52266.3</v>
      </c>
      <c r="E16" s="27">
        <v>92095</v>
      </c>
      <c r="F16" s="31" t="s">
        <v>49</v>
      </c>
      <c r="G16" s="37">
        <v>109590</v>
      </c>
      <c r="H16" s="20"/>
      <c r="I16" s="7"/>
      <c r="J16" s="7"/>
      <c r="K16" s="7"/>
      <c r="L16" s="7"/>
    </row>
    <row r="17" spans="1:12">
      <c r="A17" s="46"/>
      <c r="B17" s="5" t="s">
        <v>50</v>
      </c>
      <c r="C17" s="27">
        <v>570874.6</v>
      </c>
      <c r="D17" s="27">
        <v>409219.7</v>
      </c>
      <c r="E17" s="27">
        <v>471338.5</v>
      </c>
      <c r="F17" s="31" t="s">
        <v>51</v>
      </c>
      <c r="G17" s="37">
        <v>771980</v>
      </c>
      <c r="H17" s="20"/>
      <c r="I17" s="7"/>
      <c r="J17" s="8"/>
      <c r="K17" s="8"/>
      <c r="L17" s="8"/>
    </row>
    <row r="18" spans="1:12" ht="17.25" customHeight="1">
      <c r="A18" s="46"/>
      <c r="B18" s="13" t="s">
        <v>52</v>
      </c>
      <c r="C18" s="27">
        <v>175034</v>
      </c>
      <c r="D18" s="27">
        <v>128491.3</v>
      </c>
      <c r="E18" s="27">
        <v>143972.9</v>
      </c>
      <c r="F18" s="31" t="s">
        <v>53</v>
      </c>
      <c r="G18" s="37">
        <v>267580</v>
      </c>
      <c r="H18" s="20"/>
      <c r="I18" s="7"/>
      <c r="J18" s="7"/>
      <c r="K18" s="7"/>
      <c r="L18" s="7"/>
    </row>
    <row r="19" spans="1:12">
      <c r="A19" s="46"/>
      <c r="B19" s="12" t="s">
        <v>54</v>
      </c>
      <c r="C19" s="29">
        <v>2717496.6</v>
      </c>
      <c r="D19" s="29">
        <v>2491512</v>
      </c>
      <c r="E19" s="29">
        <v>2878810.8</v>
      </c>
      <c r="F19" s="33">
        <v>3491331.3</v>
      </c>
      <c r="G19" s="39">
        <v>4110400</v>
      </c>
      <c r="H19" s="22"/>
      <c r="I19" s="8"/>
      <c r="J19" s="8"/>
      <c r="K19" s="8"/>
      <c r="L19" s="8"/>
    </row>
    <row r="20" spans="1:12">
      <c r="A20" s="46"/>
      <c r="B20" s="12" t="s">
        <v>55</v>
      </c>
      <c r="C20" s="29">
        <v>1791571.2</v>
      </c>
      <c r="D20" s="29">
        <v>1583266.8</v>
      </c>
      <c r="E20" s="29">
        <v>1795633.2</v>
      </c>
      <c r="F20" s="33">
        <v>2257433.7999999998</v>
      </c>
      <c r="G20" s="39">
        <v>2727550</v>
      </c>
      <c r="H20" s="22"/>
      <c r="I20" s="8"/>
      <c r="J20" s="8"/>
      <c r="K20" s="8"/>
      <c r="L20" s="8"/>
    </row>
    <row r="21" spans="1:12">
      <c r="A21" s="46"/>
      <c r="B21" s="12" t="s">
        <v>56</v>
      </c>
      <c r="C21" s="29">
        <v>848840</v>
      </c>
      <c r="D21" s="29">
        <v>941112.6</v>
      </c>
      <c r="E21" s="29">
        <v>1019439.3</v>
      </c>
      <c r="F21" s="33">
        <v>1248567.7</v>
      </c>
      <c r="G21" s="39">
        <v>1669530</v>
      </c>
      <c r="H21" s="22"/>
      <c r="I21" s="8"/>
      <c r="J21" s="8"/>
      <c r="K21" s="8"/>
      <c r="L21" s="8"/>
    </row>
    <row r="22" spans="1:12">
      <c r="A22" s="46"/>
      <c r="B22" s="12" t="s">
        <v>57</v>
      </c>
      <c r="C22" s="29">
        <v>875260.6</v>
      </c>
      <c r="D22" s="29">
        <v>685704.5</v>
      </c>
      <c r="E22" s="29">
        <v>779423.7</v>
      </c>
      <c r="F22" s="33">
        <v>954406.6</v>
      </c>
      <c r="G22" s="39">
        <v>1191880</v>
      </c>
      <c r="H22" s="22"/>
      <c r="I22" s="8"/>
      <c r="J22" s="8"/>
      <c r="K22" s="8"/>
      <c r="L22" s="8"/>
    </row>
    <row r="23" spans="1:12" ht="18" customHeight="1">
      <c r="A23" s="46" t="s">
        <v>58</v>
      </c>
      <c r="B23" s="11" t="s">
        <v>59</v>
      </c>
      <c r="C23" s="59">
        <v>211995.5</v>
      </c>
      <c r="D23" s="27">
        <v>185883.6</v>
      </c>
      <c r="E23" s="27">
        <v>224475.9</v>
      </c>
      <c r="F23" s="31">
        <v>380048.8</v>
      </c>
      <c r="G23" s="37">
        <v>726940</v>
      </c>
      <c r="H23" s="20"/>
      <c r="I23" s="7"/>
      <c r="J23" s="8"/>
      <c r="K23" s="8"/>
      <c r="L23" s="8"/>
    </row>
    <row r="24" spans="1:12" ht="18" customHeight="1">
      <c r="A24" s="46"/>
      <c r="B24" s="11" t="s">
        <v>60</v>
      </c>
      <c r="C24" s="42">
        <f>C23-C15</f>
        <v>-27447.799999999988</v>
      </c>
      <c r="D24" s="42">
        <f t="shared" ref="D24:G24" si="1">D23-D15</f>
        <v>-49583.5</v>
      </c>
      <c r="E24" s="42">
        <f t="shared" si="1"/>
        <v>-23881</v>
      </c>
      <c r="F24" s="42">
        <f t="shared" si="1"/>
        <v>131445.19999999998</v>
      </c>
      <c r="G24" s="42">
        <f t="shared" si="1"/>
        <v>454550</v>
      </c>
      <c r="H24" s="20"/>
      <c r="I24" s="7"/>
      <c r="J24" s="8"/>
      <c r="K24" s="8"/>
      <c r="L24" s="8"/>
    </row>
    <row r="25" spans="1:12" ht="16.5">
      <c r="A25" s="46" t="s">
        <v>61</v>
      </c>
      <c r="B25" s="11" t="s">
        <v>62</v>
      </c>
      <c r="C25" s="60">
        <f>C24-C12</f>
        <v>-99881.099999999991</v>
      </c>
      <c r="D25" s="60">
        <f t="shared" ref="D25:G25" si="2">D24-D12</f>
        <v>-130555.2</v>
      </c>
      <c r="E25" s="60">
        <f t="shared" si="2"/>
        <v>-116999.6</v>
      </c>
      <c r="F25" s="60">
        <f t="shared" si="2"/>
        <v>29190.39999999998</v>
      </c>
      <c r="G25" s="60">
        <f t="shared" si="2"/>
        <v>378610</v>
      </c>
      <c r="H25" s="20"/>
      <c r="I25" s="7"/>
      <c r="J25" s="8"/>
      <c r="K25" s="8"/>
      <c r="L25" s="8"/>
    </row>
    <row r="26" spans="1:12" ht="20.25" customHeight="1">
      <c r="A26" s="46" t="s">
        <v>63</v>
      </c>
      <c r="B26" s="6" t="s">
        <v>64</v>
      </c>
      <c r="C26" s="27">
        <v>3952.5</v>
      </c>
      <c r="D26" s="27">
        <v>25418.6</v>
      </c>
      <c r="E26" s="27">
        <v>42312.9</v>
      </c>
      <c r="F26" s="31">
        <v>7040.6</v>
      </c>
      <c r="G26" s="37">
        <v>40240</v>
      </c>
      <c r="H26" s="20"/>
      <c r="I26" s="7"/>
      <c r="J26" s="7"/>
      <c r="K26" s="7"/>
      <c r="L26" s="7"/>
    </row>
    <row r="27" spans="1:12">
      <c r="A27" s="46" t="s">
        <v>65</v>
      </c>
      <c r="B27" s="6" t="s">
        <v>66</v>
      </c>
      <c r="C27" s="42">
        <f>C25-C26</f>
        <v>-103833.59999999999</v>
      </c>
      <c r="D27" s="42">
        <f t="shared" ref="D27:G27" si="3">D25-D26</f>
        <v>-155973.79999999999</v>
      </c>
      <c r="E27" s="42">
        <f t="shared" si="3"/>
        <v>-159312.5</v>
      </c>
      <c r="F27" s="42">
        <f t="shared" si="3"/>
        <v>22149.799999999981</v>
      </c>
      <c r="G27" s="42">
        <f t="shared" si="3"/>
        <v>338370</v>
      </c>
      <c r="H27" s="20"/>
      <c r="I27" s="7"/>
      <c r="J27" s="7"/>
      <c r="K27" s="7"/>
      <c r="L27" s="7"/>
    </row>
    <row r="28" spans="1:12">
      <c r="A28" s="46" t="s">
        <v>67</v>
      </c>
      <c r="B28" s="6" t="s">
        <v>68</v>
      </c>
      <c r="C28" s="27"/>
      <c r="D28" s="27"/>
      <c r="E28" s="27"/>
      <c r="F28" s="31"/>
      <c r="G28" s="37"/>
      <c r="H28" s="20"/>
      <c r="I28" s="7"/>
      <c r="J28" s="8"/>
      <c r="K28" s="8"/>
      <c r="L28" s="8"/>
    </row>
    <row r="29" spans="1:12">
      <c r="A29" s="46"/>
      <c r="B29" s="12" t="s">
        <v>69</v>
      </c>
      <c r="C29" s="28">
        <v>34.880000000000003</v>
      </c>
      <c r="D29" s="28">
        <v>36.99</v>
      </c>
      <c r="E29" s="28">
        <v>29.88</v>
      </c>
      <c r="F29" s="32">
        <v>6.29</v>
      </c>
      <c r="G29" s="38">
        <v>81.95</v>
      </c>
      <c r="H29" s="23"/>
      <c r="I29" s="9"/>
      <c r="J29" s="9"/>
      <c r="K29" s="9"/>
      <c r="L29" s="9"/>
    </row>
    <row r="30" spans="1:12">
      <c r="A30" s="25"/>
      <c r="B30" s="15" t="s">
        <v>70</v>
      </c>
      <c r="C30" s="30">
        <v>34.880000000000003</v>
      </c>
      <c r="D30" s="30">
        <v>36.99</v>
      </c>
      <c r="E30" s="30">
        <v>29.88</v>
      </c>
      <c r="F30" s="34">
        <v>6.29</v>
      </c>
      <c r="G30" s="40">
        <v>81.84</v>
      </c>
      <c r="H30" s="23"/>
    </row>
    <row r="31" spans="1:12">
      <c r="B31" s="24"/>
      <c r="C31" s="24"/>
      <c r="D31" s="24"/>
      <c r="E31" s="24"/>
      <c r="F31" s="24"/>
      <c r="G31" s="24"/>
    </row>
    <row r="32" spans="1:12">
      <c r="B32" s="7"/>
      <c r="C32" s="7"/>
      <c r="D32" s="7"/>
      <c r="E32" s="7"/>
      <c r="F32" s="7"/>
      <c r="G32" s="7"/>
    </row>
    <row r="33" spans="2:7">
      <c r="B33" s="7"/>
      <c r="C33" s="8"/>
      <c r="D33" s="8"/>
      <c r="E33" s="8"/>
      <c r="F33" s="8"/>
      <c r="G33" s="8"/>
    </row>
    <row r="34" spans="2:7">
      <c r="B34" s="8"/>
      <c r="C34" s="8"/>
      <c r="D34" s="8"/>
      <c r="E34" s="8"/>
      <c r="F34" s="8"/>
      <c r="G34" s="8"/>
    </row>
    <row r="35" spans="2:7">
      <c r="B35" s="8"/>
      <c r="C35" s="8"/>
      <c r="D35" s="8"/>
      <c r="E35" s="8"/>
      <c r="F35" s="8"/>
      <c r="G35" s="8"/>
    </row>
    <row r="36" spans="2:7">
      <c r="B36" s="8"/>
      <c r="C36" s="8"/>
      <c r="D36" s="8"/>
      <c r="E36" s="8"/>
      <c r="F36" s="8"/>
      <c r="G36" s="8"/>
    </row>
    <row r="37" spans="2:7">
      <c r="B37" s="8"/>
      <c r="C37" s="8"/>
      <c r="D37" s="8"/>
      <c r="E37" s="8"/>
      <c r="F37" s="8"/>
      <c r="G37" s="8"/>
    </row>
    <row r="38" spans="2:7">
      <c r="B38" s="8"/>
      <c r="C38" s="8"/>
      <c r="D38" s="8"/>
      <c r="E38" s="8"/>
      <c r="F38" s="8"/>
      <c r="G38" s="8"/>
    </row>
    <row r="39" spans="2:7">
      <c r="B39" s="8"/>
      <c r="C39" s="8"/>
      <c r="D39" s="8"/>
      <c r="E39" s="8"/>
      <c r="F39" s="8"/>
      <c r="G39" s="8"/>
    </row>
    <row r="40" spans="2:7">
      <c r="B40" s="8"/>
      <c r="C40" s="8"/>
      <c r="D40" s="8"/>
      <c r="E40" s="8"/>
      <c r="F40" s="8"/>
      <c r="G40" s="8"/>
    </row>
    <row r="41" spans="2:7">
      <c r="B41" s="7"/>
      <c r="C41" s="7"/>
      <c r="D41" s="7"/>
      <c r="E41" s="7"/>
      <c r="F41" s="7"/>
      <c r="G41" s="7"/>
    </row>
    <row r="42" spans="2:7">
      <c r="B42" s="7"/>
      <c r="C42" s="7"/>
      <c r="D42" s="7"/>
      <c r="E42" s="7"/>
      <c r="F42" s="7"/>
      <c r="G42" s="7"/>
    </row>
    <row r="43" spans="2:7">
      <c r="B43" s="8"/>
      <c r="C43" s="8"/>
      <c r="D43" s="8"/>
      <c r="E43" s="8"/>
      <c r="F43" s="8"/>
      <c r="G4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138E-D998-46B6-B8CC-A5E8BE2BB895}">
  <dimension ref="A1:F44"/>
  <sheetViews>
    <sheetView workbookViewId="0">
      <selection activeCell="I24" sqref="I24"/>
    </sheetView>
  </sheetViews>
  <sheetFormatPr defaultRowHeight="15"/>
  <cols>
    <col min="1" max="1" width="33.28515625" bestFit="1" customWidth="1"/>
    <col min="2" max="6" width="10.7109375" bestFit="1" customWidth="1"/>
  </cols>
  <sheetData>
    <row r="1" spans="1:6">
      <c r="A1" s="47" t="s">
        <v>71</v>
      </c>
    </row>
    <row r="2" spans="1:6">
      <c r="A2" t="s">
        <v>72</v>
      </c>
    </row>
    <row r="3" spans="1:6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>
      <c r="A4" s="6" t="s">
        <v>73</v>
      </c>
      <c r="B4" s="5"/>
      <c r="C4" s="5"/>
      <c r="D4" s="5"/>
      <c r="E4" s="5"/>
      <c r="F4" s="5"/>
    </row>
    <row r="5" spans="1:6">
      <c r="A5" s="6" t="s">
        <v>74</v>
      </c>
      <c r="B5" s="5"/>
      <c r="C5" s="5"/>
      <c r="D5" s="5"/>
      <c r="E5" s="5"/>
      <c r="F5" s="5"/>
    </row>
    <row r="6" spans="1:6">
      <c r="A6" s="5" t="s">
        <v>75</v>
      </c>
      <c r="B6" s="49">
        <v>778830</v>
      </c>
      <c r="C6" s="49">
        <v>796400</v>
      </c>
      <c r="D6" s="49">
        <v>809000</v>
      </c>
      <c r="E6" s="49">
        <v>766410</v>
      </c>
      <c r="F6" s="49">
        <v>731250</v>
      </c>
    </row>
    <row r="7" spans="1:6">
      <c r="A7" s="5" t="s">
        <v>76</v>
      </c>
      <c r="B7" s="49">
        <v>699720</v>
      </c>
      <c r="C7" s="49">
        <v>651640</v>
      </c>
      <c r="D7" s="49">
        <v>579910</v>
      </c>
      <c r="E7" s="49">
        <v>566930</v>
      </c>
      <c r="F7" s="49">
        <v>650020</v>
      </c>
    </row>
    <row r="8" spans="1:6">
      <c r="A8" s="5" t="s">
        <v>77</v>
      </c>
      <c r="B8" s="49">
        <v>54470</v>
      </c>
      <c r="C8" s="49">
        <v>56190</v>
      </c>
      <c r="D8" s="49">
        <v>66700</v>
      </c>
      <c r="E8" s="49">
        <v>75410</v>
      </c>
      <c r="F8" s="49">
        <v>76820</v>
      </c>
    </row>
    <row r="9" spans="1:6">
      <c r="A9" s="5" t="s">
        <v>78</v>
      </c>
      <c r="B9" s="51">
        <v>429360</v>
      </c>
      <c r="C9" s="51">
        <v>458150</v>
      </c>
      <c r="D9" s="51">
        <v>380810</v>
      </c>
      <c r="E9" s="51">
        <v>436780</v>
      </c>
      <c r="F9" s="51">
        <v>415470</v>
      </c>
    </row>
    <row r="10" spans="1:6">
      <c r="A10" s="6" t="s">
        <v>79</v>
      </c>
      <c r="B10" s="50">
        <v>1962380</v>
      </c>
      <c r="C10" s="50">
        <v>1962380</v>
      </c>
      <c r="D10" s="50">
        <v>1836420</v>
      </c>
      <c r="E10" s="50">
        <v>1845530</v>
      </c>
      <c r="F10" s="50">
        <v>1873560</v>
      </c>
    </row>
    <row r="11" spans="1:6">
      <c r="A11" s="5"/>
      <c r="B11" s="5"/>
      <c r="C11" s="5"/>
      <c r="D11" s="5"/>
      <c r="E11" s="5"/>
      <c r="F11" s="5"/>
    </row>
    <row r="12" spans="1:6">
      <c r="A12" s="6" t="s">
        <v>80</v>
      </c>
      <c r="B12" s="5"/>
      <c r="C12" s="5"/>
      <c r="D12" s="5"/>
      <c r="E12" s="5"/>
      <c r="F12" s="5"/>
    </row>
    <row r="13" spans="1:6">
      <c r="A13" s="5" t="s">
        <v>81</v>
      </c>
      <c r="B13" s="49">
        <v>374570</v>
      </c>
      <c r="C13" s="49">
        <v>360890</v>
      </c>
      <c r="D13" s="49">
        <v>352400</v>
      </c>
      <c r="E13" s="49">
        <v>407550</v>
      </c>
      <c r="F13" s="49">
        <v>477880</v>
      </c>
    </row>
    <row r="14" spans="1:6">
      <c r="A14" s="5" t="s">
        <v>82</v>
      </c>
      <c r="B14" s="49">
        <v>111730</v>
      </c>
      <c r="C14" s="49">
        <v>126790</v>
      </c>
      <c r="D14" s="49">
        <v>124420</v>
      </c>
      <c r="E14" s="49">
        <v>157380</v>
      </c>
      <c r="F14" s="49">
        <v>169520</v>
      </c>
    </row>
    <row r="15" spans="1:6">
      <c r="A15" s="5" t="s">
        <v>83</v>
      </c>
      <c r="B15" s="49">
        <v>184680</v>
      </c>
      <c r="C15" s="49">
        <v>317000</v>
      </c>
      <c r="D15" s="49">
        <v>381590</v>
      </c>
      <c r="E15" s="49">
        <v>318870</v>
      </c>
      <c r="F15" s="49">
        <v>400150</v>
      </c>
    </row>
    <row r="16" spans="1:6">
      <c r="A16" s="5" t="s">
        <v>84</v>
      </c>
      <c r="B16" s="51">
        <v>587850</v>
      </c>
      <c r="C16" s="51">
        <v>664200</v>
      </c>
      <c r="D16" s="51">
        <v>611370</v>
      </c>
      <c r="E16" s="51">
        <v>631480</v>
      </c>
      <c r="F16" s="51">
        <v>785530</v>
      </c>
    </row>
    <row r="17" spans="1:6">
      <c r="A17" s="6" t="s">
        <v>85</v>
      </c>
      <c r="B17" s="50">
        <v>1258830</v>
      </c>
      <c r="C17" s="50">
        <v>1468880</v>
      </c>
      <c r="D17" s="50">
        <v>1469780</v>
      </c>
      <c r="E17" s="50">
        <v>1515280</v>
      </c>
      <c r="F17" s="50">
        <v>1833080</v>
      </c>
    </row>
    <row r="18" spans="1:6">
      <c r="A18" s="5"/>
      <c r="B18" s="5"/>
      <c r="C18" s="5"/>
      <c r="D18" s="5"/>
      <c r="E18" s="5"/>
      <c r="F18" s="5"/>
    </row>
    <row r="19" spans="1:6">
      <c r="A19" s="6" t="s">
        <v>86</v>
      </c>
      <c r="B19" s="50">
        <f>B10+B17</f>
        <v>3221210</v>
      </c>
      <c r="C19" s="50">
        <f t="shared" ref="C19:F19" si="0">C10+C17</f>
        <v>3431260</v>
      </c>
      <c r="D19" s="50">
        <f t="shared" si="0"/>
        <v>3306200</v>
      </c>
      <c r="E19" s="50">
        <f t="shared" si="0"/>
        <v>3360810</v>
      </c>
      <c r="F19" s="50">
        <f t="shared" si="0"/>
        <v>3706640</v>
      </c>
    </row>
    <row r="20" spans="1:6">
      <c r="A20" s="5"/>
      <c r="B20" s="5"/>
      <c r="C20" s="5"/>
      <c r="D20" s="5"/>
      <c r="E20" s="5"/>
      <c r="F20" s="5"/>
    </row>
    <row r="21" spans="1:6">
      <c r="A21" s="6" t="s">
        <v>87</v>
      </c>
      <c r="B21" s="5"/>
      <c r="C21" s="5"/>
      <c r="D21" s="5"/>
      <c r="E21" s="5"/>
      <c r="F21" s="5"/>
    </row>
    <row r="22" spans="1:6">
      <c r="A22" s="6" t="s">
        <v>88</v>
      </c>
      <c r="B22" s="5"/>
      <c r="C22" s="5"/>
      <c r="D22" s="5"/>
      <c r="E22" s="5"/>
      <c r="F22" s="5"/>
    </row>
    <row r="23" spans="1:6">
      <c r="A23" s="5" t="s">
        <v>89</v>
      </c>
      <c r="B23" s="49">
        <v>180410</v>
      </c>
      <c r="C23" s="49">
        <v>216630</v>
      </c>
      <c r="D23" s="49">
        <v>173780</v>
      </c>
      <c r="E23" s="49">
        <v>140670</v>
      </c>
      <c r="F23" s="49">
        <v>118130</v>
      </c>
    </row>
    <row r="24" spans="1:6">
      <c r="A24" s="5" t="s">
        <v>90</v>
      </c>
      <c r="B24" s="49">
        <v>588120</v>
      </c>
      <c r="C24" s="49">
        <v>648490</v>
      </c>
      <c r="D24" s="49">
        <v>667430</v>
      </c>
      <c r="E24" s="49">
        <v>792140</v>
      </c>
      <c r="F24" s="49">
        <v>939780</v>
      </c>
    </row>
    <row r="25" spans="1:6">
      <c r="A25" s="5" t="s">
        <v>91</v>
      </c>
      <c r="B25" s="51">
        <v>331200</v>
      </c>
      <c r="C25" s="51">
        <v>414860</v>
      </c>
      <c r="D25" s="51">
        <v>479880</v>
      </c>
      <c r="E25" s="51">
        <v>497190</v>
      </c>
      <c r="F25" s="51">
        <v>459100</v>
      </c>
    </row>
    <row r="26" spans="1:6">
      <c r="A26" s="6" t="s">
        <v>92</v>
      </c>
      <c r="B26" s="50">
        <v>1099730</v>
      </c>
      <c r="C26" s="50">
        <v>1279980</v>
      </c>
      <c r="D26" s="50">
        <v>1321090</v>
      </c>
      <c r="E26" s="50">
        <v>1430000</v>
      </c>
      <c r="F26" s="50">
        <v>1517010</v>
      </c>
    </row>
    <row r="27" spans="1:6">
      <c r="A27" s="5"/>
      <c r="B27" s="5"/>
      <c r="C27" s="5"/>
      <c r="D27" s="5"/>
      <c r="E27" s="5"/>
      <c r="F27" s="5"/>
    </row>
    <row r="28" spans="1:6">
      <c r="A28" s="6" t="s">
        <v>93</v>
      </c>
      <c r="B28" s="5"/>
      <c r="C28" s="5"/>
      <c r="D28" s="5"/>
      <c r="E28" s="5"/>
      <c r="F28" s="5"/>
    </row>
    <row r="29" spans="1:6">
      <c r="A29" s="5" t="s">
        <v>94</v>
      </c>
      <c r="B29" s="49">
        <v>1056560</v>
      </c>
      <c r="C29" s="49">
        <v>931130</v>
      </c>
      <c r="D29" s="49">
        <v>977590</v>
      </c>
      <c r="E29" s="49">
        <v>886960</v>
      </c>
      <c r="F29" s="49">
        <v>866880</v>
      </c>
    </row>
    <row r="30" spans="1:6">
      <c r="A30" s="5" t="s">
        <v>95</v>
      </c>
      <c r="B30" s="51">
        <v>426000</v>
      </c>
      <c r="C30" s="51">
        <v>651950</v>
      </c>
      <c r="D30" s="51">
        <v>519200</v>
      </c>
      <c r="E30" s="51">
        <v>517860</v>
      </c>
      <c r="F30" s="51">
        <v>391810</v>
      </c>
    </row>
    <row r="31" spans="1:6">
      <c r="A31" s="6" t="s">
        <v>96</v>
      </c>
      <c r="B31" s="50">
        <v>1482560</v>
      </c>
      <c r="C31" s="50">
        <v>1583080</v>
      </c>
      <c r="D31" s="50">
        <v>1496790</v>
      </c>
      <c r="E31" s="50">
        <v>1404820</v>
      </c>
      <c r="F31" s="50">
        <v>1258690</v>
      </c>
    </row>
    <row r="32" spans="1:6">
      <c r="A32" s="5"/>
      <c r="B32" s="5"/>
      <c r="C32" s="5"/>
      <c r="D32" s="5"/>
      <c r="E32" s="5"/>
      <c r="F32" s="5"/>
    </row>
    <row r="33" spans="1:6">
      <c r="A33" s="6" t="s">
        <v>97</v>
      </c>
      <c r="B33" s="50">
        <f>B26+B31</f>
        <v>2582290</v>
      </c>
      <c r="C33" s="50">
        <f t="shared" ref="C33:F33" si="1">C26+C31</f>
        <v>2863060</v>
      </c>
      <c r="D33" s="50">
        <f t="shared" si="1"/>
        <v>2817880</v>
      </c>
      <c r="E33" s="50">
        <f t="shared" si="1"/>
        <v>2834820</v>
      </c>
      <c r="F33" s="50">
        <f t="shared" si="1"/>
        <v>2775700</v>
      </c>
    </row>
    <row r="34" spans="1:6">
      <c r="A34" s="5"/>
      <c r="B34" s="5"/>
      <c r="C34" s="5"/>
      <c r="D34" s="5"/>
      <c r="E34" s="5"/>
      <c r="F34" s="5"/>
    </row>
    <row r="35" spans="1:6">
      <c r="A35" s="6" t="s">
        <v>98</v>
      </c>
      <c r="B35" s="5"/>
      <c r="C35" s="5"/>
      <c r="D35" s="5"/>
      <c r="E35" s="5"/>
      <c r="F35" s="5"/>
    </row>
    <row r="36" spans="1:6">
      <c r="A36" s="5" t="s">
        <v>99</v>
      </c>
      <c r="B36" s="49">
        <v>7200</v>
      </c>
      <c r="C36" s="49">
        <v>7660</v>
      </c>
      <c r="D36" s="49">
        <v>7660</v>
      </c>
      <c r="E36" s="49">
        <v>7660</v>
      </c>
      <c r="F36" s="49">
        <v>7670</v>
      </c>
    </row>
    <row r="37" spans="1:6">
      <c r="A37" s="5" t="s">
        <v>100</v>
      </c>
      <c r="B37" s="49">
        <v>358830</v>
      </c>
      <c r="C37" s="49">
        <v>165830</v>
      </c>
      <c r="D37" s="49">
        <v>229470</v>
      </c>
      <c r="E37" s="49">
        <v>252510</v>
      </c>
      <c r="F37" s="49">
        <v>552110</v>
      </c>
    </row>
    <row r="38" spans="1:6">
      <c r="A38" s="5" t="s">
        <v>101</v>
      </c>
      <c r="B38" s="51">
        <v>272890</v>
      </c>
      <c r="C38" s="51">
        <v>394710</v>
      </c>
      <c r="D38" s="51">
        <v>251190</v>
      </c>
      <c r="E38" s="51">
        <v>265820</v>
      </c>
      <c r="F38" s="51">
        <v>371160</v>
      </c>
    </row>
    <row r="39" spans="1:6">
      <c r="A39" s="6" t="s">
        <v>102</v>
      </c>
      <c r="B39" s="50">
        <v>638920</v>
      </c>
      <c r="C39" s="50">
        <v>568200</v>
      </c>
      <c r="D39" s="50">
        <v>488320</v>
      </c>
      <c r="E39" s="50">
        <v>525990</v>
      </c>
      <c r="F39" s="50">
        <v>930940</v>
      </c>
    </row>
    <row r="40" spans="1:6">
      <c r="A40" s="5"/>
      <c r="B40" s="5"/>
      <c r="C40" s="5"/>
      <c r="D40" s="5"/>
      <c r="E40" s="5"/>
      <c r="F40" s="5"/>
    </row>
    <row r="41" spans="1:6">
      <c r="A41" s="6" t="s">
        <v>103</v>
      </c>
      <c r="B41" s="50">
        <f>B33+B39</f>
        <v>3221210</v>
      </c>
      <c r="C41" s="50">
        <f t="shared" ref="C41:F41" si="2">C33+C39</f>
        <v>3431260</v>
      </c>
      <c r="D41" s="50">
        <f t="shared" si="2"/>
        <v>3306200</v>
      </c>
      <c r="E41" s="50">
        <f t="shared" si="2"/>
        <v>3360810</v>
      </c>
      <c r="F41" s="50">
        <f t="shared" si="2"/>
        <v>3706640</v>
      </c>
    </row>
    <row r="42" spans="1:6">
      <c r="A42" s="5"/>
      <c r="B42" s="5"/>
      <c r="C42" s="5"/>
      <c r="D42" s="5"/>
      <c r="E42" s="5"/>
      <c r="F42" s="5"/>
    </row>
    <row r="43" spans="1:6">
      <c r="A43" s="6" t="s">
        <v>104</v>
      </c>
      <c r="B43" s="50">
        <f>B19-B41</f>
        <v>0</v>
      </c>
      <c r="C43" s="50">
        <f t="shared" ref="C43:F43" si="3">C19-C41</f>
        <v>0</v>
      </c>
      <c r="D43" s="50">
        <f t="shared" si="3"/>
        <v>0</v>
      </c>
      <c r="E43" s="50">
        <f t="shared" si="3"/>
        <v>0</v>
      </c>
      <c r="F43" s="50">
        <f t="shared" si="3"/>
        <v>0</v>
      </c>
    </row>
    <row r="44" spans="1:6">
      <c r="A44" s="48"/>
      <c r="B44" s="5"/>
      <c r="C44" s="5"/>
      <c r="D44" s="5"/>
      <c r="E44" s="5"/>
      <c r="F4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140F-B196-458C-94EC-9B66D5AFECFF}">
  <dimension ref="A1:F17"/>
  <sheetViews>
    <sheetView workbookViewId="0">
      <selection activeCell="K14" sqref="K14"/>
    </sheetView>
  </sheetViews>
  <sheetFormatPr defaultRowHeight="15"/>
  <cols>
    <col min="1" max="1" width="37.85546875" customWidth="1"/>
    <col min="2" max="2" width="12.85546875" customWidth="1"/>
    <col min="3" max="3" width="13.140625" customWidth="1"/>
    <col min="4" max="4" width="13.7109375" customWidth="1"/>
    <col min="5" max="5" width="12.7109375" customWidth="1"/>
    <col min="6" max="6" width="13.140625" customWidth="1"/>
  </cols>
  <sheetData>
    <row r="1" spans="1:6" ht="29.25">
      <c r="A1" s="52" t="s">
        <v>105</v>
      </c>
    </row>
    <row r="2" spans="1:6">
      <c r="A2" t="s">
        <v>72</v>
      </c>
    </row>
    <row r="3" spans="1:6" ht="16.5">
      <c r="A3" s="11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 ht="16.5">
      <c r="A4" s="11" t="s">
        <v>106</v>
      </c>
      <c r="B4" s="5"/>
      <c r="C4" s="5"/>
      <c r="D4" s="5"/>
      <c r="E4" s="5"/>
      <c r="F4" s="5"/>
    </row>
    <row r="5" spans="1:6" ht="33.75">
      <c r="A5" s="13" t="s">
        <v>107</v>
      </c>
      <c r="B5" s="50">
        <v>-27080</v>
      </c>
      <c r="C5" s="50">
        <v>291901</v>
      </c>
      <c r="D5" s="50">
        <v>195520</v>
      </c>
      <c r="E5" s="50">
        <v>192589</v>
      </c>
      <c r="F5" s="50">
        <v>401950</v>
      </c>
    </row>
    <row r="6" spans="1:6" ht="33.75">
      <c r="A6" s="13" t="s">
        <v>108</v>
      </c>
      <c r="B6" s="50">
        <v>-64613</v>
      </c>
      <c r="C6" s="50">
        <v>-152218</v>
      </c>
      <c r="D6" s="50">
        <v>-200111</v>
      </c>
      <c r="E6" s="50">
        <v>-276246</v>
      </c>
      <c r="F6" s="50">
        <v>-301210</v>
      </c>
    </row>
    <row r="7" spans="1:6" ht="33.75">
      <c r="A7" s="13" t="s">
        <v>109</v>
      </c>
      <c r="B7" s="50">
        <v>28292</v>
      </c>
      <c r="C7" s="50">
        <v>-11024</v>
      </c>
      <c r="D7" s="50">
        <v>59924</v>
      </c>
      <c r="E7" s="50">
        <v>-310486</v>
      </c>
      <c r="F7" s="50">
        <v>-29330</v>
      </c>
    </row>
    <row r="8" spans="1:6" ht="16.5">
      <c r="A8" s="11" t="s">
        <v>110</v>
      </c>
      <c r="B8" s="50">
        <f>B5+B6+B7</f>
        <v>-63401</v>
      </c>
      <c r="C8" s="50">
        <f t="shared" ref="C8:F8" si="0">C5+C6+C7</f>
        <v>128659</v>
      </c>
      <c r="D8" s="50">
        <f t="shared" si="0"/>
        <v>55333</v>
      </c>
      <c r="E8" s="50">
        <f t="shared" si="0"/>
        <v>-394143</v>
      </c>
      <c r="F8" s="50">
        <f t="shared" si="0"/>
        <v>71410</v>
      </c>
    </row>
    <row r="9" spans="1:6">
      <c r="A9" s="13"/>
      <c r="B9" s="5"/>
      <c r="C9" s="5"/>
      <c r="D9" s="5"/>
      <c r="E9" s="5"/>
      <c r="F9" s="5"/>
    </row>
    <row r="10" spans="1:6" ht="16.5">
      <c r="A10" s="11" t="s">
        <v>111</v>
      </c>
      <c r="B10" s="5"/>
      <c r="C10" s="5"/>
      <c r="D10" s="5"/>
      <c r="E10" s="5"/>
      <c r="F10" s="5"/>
    </row>
    <row r="11" spans="1:6" ht="16.5">
      <c r="A11" s="11" t="s">
        <v>112</v>
      </c>
      <c r="B11" s="53">
        <v>250007</v>
      </c>
      <c r="C11" s="50">
        <f>HIST_BS!B15</f>
        <v>184680</v>
      </c>
      <c r="D11" s="50">
        <f>HIST_BS!C15</f>
        <v>317000</v>
      </c>
      <c r="E11" s="50">
        <f>HIST_BS!D15</f>
        <v>381590</v>
      </c>
      <c r="F11" s="50">
        <f>HIST_BS!E15</f>
        <v>318870</v>
      </c>
    </row>
    <row r="12" spans="1:6" ht="16.5">
      <c r="A12" s="13" t="s">
        <v>113</v>
      </c>
      <c r="B12" s="50">
        <f>B8</f>
        <v>-63401</v>
      </c>
      <c r="C12" s="50">
        <f t="shared" ref="C12:F12" si="1">C8</f>
        <v>128659</v>
      </c>
      <c r="D12" s="50">
        <f t="shared" si="1"/>
        <v>55333</v>
      </c>
      <c r="E12" s="50">
        <f t="shared" si="1"/>
        <v>-394143</v>
      </c>
      <c r="F12" s="50">
        <f t="shared" si="1"/>
        <v>71410</v>
      </c>
    </row>
    <row r="13" spans="1:6">
      <c r="A13" s="47" t="s">
        <v>114</v>
      </c>
      <c r="B13" s="54">
        <v>-1926</v>
      </c>
      <c r="C13" s="55">
        <v>3661</v>
      </c>
      <c r="D13" s="54">
        <v>9257</v>
      </c>
      <c r="E13" s="55">
        <v>331423</v>
      </c>
      <c r="F13" s="55">
        <v>9870</v>
      </c>
    </row>
    <row r="14" spans="1:6" ht="16.5">
      <c r="A14" s="11" t="s">
        <v>115</v>
      </c>
      <c r="B14" s="50">
        <f>B11+B12+B13</f>
        <v>184680</v>
      </c>
      <c r="C14" s="50">
        <f t="shared" ref="C14:F14" si="2">C11+C12+C13</f>
        <v>317000</v>
      </c>
      <c r="D14" s="50">
        <f t="shared" si="2"/>
        <v>381590</v>
      </c>
      <c r="E14" s="50">
        <f t="shared" si="2"/>
        <v>318870</v>
      </c>
      <c r="F14" s="50">
        <f t="shared" si="2"/>
        <v>400150</v>
      </c>
    </row>
    <row r="15" spans="1:6">
      <c r="A15" s="13"/>
      <c r="B15" s="5"/>
      <c r="C15" s="5"/>
      <c r="D15" s="5"/>
      <c r="E15" s="5"/>
      <c r="F15" s="5"/>
    </row>
    <row r="16" spans="1:6" ht="16.5">
      <c r="A16" s="11" t="s">
        <v>116</v>
      </c>
      <c r="B16" s="50">
        <f>HIST_BS!B15</f>
        <v>184680</v>
      </c>
      <c r="C16" s="50">
        <f>HIST_BS!C15</f>
        <v>317000</v>
      </c>
      <c r="D16" s="50">
        <f>HIST_BS!D15</f>
        <v>381590</v>
      </c>
      <c r="E16" s="50">
        <f>HIST_BS!E15</f>
        <v>318870</v>
      </c>
      <c r="F16" s="50">
        <f>HIST_BS!F15</f>
        <v>400150</v>
      </c>
    </row>
    <row r="17" spans="1:6" ht="16.5">
      <c r="A17" s="11" t="s">
        <v>117</v>
      </c>
      <c r="B17" s="50">
        <f>B14-B16</f>
        <v>0</v>
      </c>
      <c r="C17" s="50">
        <f t="shared" ref="C17:F17" si="3">C14-C16</f>
        <v>0</v>
      </c>
      <c r="D17" s="50">
        <f t="shared" si="3"/>
        <v>0</v>
      </c>
      <c r="E17" s="50">
        <f t="shared" si="3"/>
        <v>0</v>
      </c>
      <c r="F17" s="50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A181-A61E-4E6D-B086-6252AD15550E}">
  <dimension ref="A1:L18"/>
  <sheetViews>
    <sheetView tabSelected="1" workbookViewId="0">
      <selection activeCell="K2" sqref="K2:K18"/>
    </sheetView>
  </sheetViews>
  <sheetFormatPr defaultRowHeight="15"/>
  <cols>
    <col min="1" max="1" width="30.5703125" customWidth="1"/>
    <col min="2" max="2" width="17.7109375" customWidth="1"/>
    <col min="3" max="3" width="16.140625" customWidth="1"/>
    <col min="4" max="4" width="16.42578125" customWidth="1"/>
    <col min="5" max="5" width="16.5703125" customWidth="1"/>
    <col min="6" max="6" width="15.85546875" customWidth="1"/>
  </cols>
  <sheetData>
    <row r="1" spans="1:12">
      <c r="A1" s="56" t="s">
        <v>118</v>
      </c>
    </row>
    <row r="2" spans="1:12" ht="23.25" customHeight="1">
      <c r="A2" s="6" t="s">
        <v>9</v>
      </c>
      <c r="B2" s="11" t="s">
        <v>119</v>
      </c>
      <c r="C2" s="5"/>
      <c r="D2" s="5"/>
      <c r="E2" s="5"/>
      <c r="F2" s="65"/>
      <c r="G2" s="69"/>
      <c r="H2" s="68"/>
      <c r="I2" s="68"/>
      <c r="J2" s="68"/>
      <c r="K2" s="68"/>
      <c r="L2" s="68"/>
    </row>
    <row r="3" spans="1:12" ht="16.5">
      <c r="A3" s="5"/>
      <c r="B3" s="11" t="s">
        <v>10</v>
      </c>
      <c r="C3" s="6" t="s">
        <v>11</v>
      </c>
      <c r="D3" s="6" t="s">
        <v>12</v>
      </c>
      <c r="E3" s="6" t="s">
        <v>13</v>
      </c>
      <c r="F3" s="10" t="s">
        <v>14</v>
      </c>
      <c r="G3" s="70"/>
      <c r="H3" s="64"/>
      <c r="I3" s="64"/>
      <c r="J3" s="64"/>
      <c r="K3" s="64"/>
      <c r="L3" s="64"/>
    </row>
    <row r="4" spans="1:12">
      <c r="A4" s="6" t="s">
        <v>120</v>
      </c>
      <c r="B4" s="13"/>
      <c r="C4" s="5"/>
      <c r="D4" s="5"/>
      <c r="E4" s="5"/>
      <c r="F4" s="65"/>
      <c r="G4" s="70"/>
      <c r="H4" s="64"/>
      <c r="I4" s="64"/>
      <c r="J4" s="64"/>
      <c r="K4" s="64"/>
      <c r="L4" s="64"/>
    </row>
    <row r="5" spans="1:12" ht="16.5">
      <c r="A5" s="5" t="s">
        <v>121</v>
      </c>
      <c r="B5" s="13" t="s">
        <v>122</v>
      </c>
      <c r="C5" s="57">
        <f>(HIST_IS!D6/HIST_IS!C6)-1</f>
        <v>-4.3944594690402905E-2</v>
      </c>
      <c r="D5" s="57">
        <f>(HIST_IS!E6/HIST_IS!D6)-1</f>
        <v>0.11515428306854347</v>
      </c>
      <c r="E5" s="57">
        <f>(HIST_IS!F6/HIST_IS!E6)-1</f>
        <v>0.24543914943576062</v>
      </c>
      <c r="F5" s="66">
        <f>(HIST_IS!G6/HIST_IS!F6)-1</f>
        <v>0.25415804870591185</v>
      </c>
      <c r="G5" s="70"/>
      <c r="H5" s="64"/>
      <c r="I5" s="64"/>
      <c r="J5" s="64"/>
      <c r="K5" s="64"/>
      <c r="L5" s="64"/>
    </row>
    <row r="6" spans="1:12">
      <c r="A6" s="48" t="s">
        <v>123</v>
      </c>
      <c r="B6" s="13"/>
      <c r="C6" s="5"/>
      <c r="D6" s="5"/>
      <c r="E6" s="5"/>
      <c r="F6" s="65"/>
      <c r="G6" s="70"/>
      <c r="H6" s="64"/>
      <c r="I6" s="64"/>
      <c r="J6" s="64"/>
      <c r="K6" s="64"/>
      <c r="L6" s="64"/>
    </row>
    <row r="7" spans="1:12">
      <c r="A7" s="5" t="s">
        <v>124</v>
      </c>
      <c r="B7" s="58">
        <f>HIST_IS!C20/HIST_IS!C6</f>
        <v>0.67851976995098329</v>
      </c>
      <c r="C7" s="58">
        <f>HIST_IS!D20/HIST_IS!D6</f>
        <v>0.62719050868502579</v>
      </c>
      <c r="D7" s="58">
        <f>HIST_IS!E20/HIST_IS!E6</f>
        <v>0.6378639271279869</v>
      </c>
      <c r="E7" s="58">
        <f>HIST_IS!F20/HIST_IS!F6</f>
        <v>0.64387702058883878</v>
      </c>
      <c r="F7" s="67">
        <f>HIST_IS!G20/HIST_IS!G6</f>
        <v>0.62030938713873751</v>
      </c>
      <c r="G7" s="70"/>
      <c r="H7" s="64"/>
      <c r="I7" s="64"/>
      <c r="J7" s="64"/>
      <c r="K7" s="64"/>
      <c r="L7" s="64"/>
    </row>
    <row r="8" spans="1:12">
      <c r="A8" s="5" t="s">
        <v>57</v>
      </c>
      <c r="B8" s="58">
        <f>HIST_IS!C22/HIST_IS!C6</f>
        <v>0.33148647453093666</v>
      </c>
      <c r="C8" s="58">
        <f>HIST_IS!D22/HIST_IS!D6</f>
        <v>0.27163290113997923</v>
      </c>
      <c r="D8" s="58">
        <f>HIST_IS!E22/HIST_IS!E6</f>
        <v>0.27687517817036683</v>
      </c>
      <c r="E8" s="58">
        <f>HIST_IS!F22/HIST_IS!F6</f>
        <v>0.27222081907266726</v>
      </c>
      <c r="F8" s="67">
        <f>HIST_IS!G22/HIST_IS!G6</f>
        <v>0.27106170458577056</v>
      </c>
      <c r="G8" s="70"/>
      <c r="H8" s="64"/>
      <c r="I8" s="64"/>
      <c r="J8" s="64"/>
      <c r="K8" s="64"/>
      <c r="L8" s="64"/>
    </row>
    <row r="9" spans="1:12">
      <c r="A9" s="5" t="s">
        <v>125</v>
      </c>
      <c r="B9" s="58">
        <f>HIST_IS!C15/HIST_IS!C6</f>
        <v>9.0684094962178607E-2</v>
      </c>
      <c r="C9" s="58">
        <f>HIST_IS!D15/HIST_IS!D6</f>
        <v>9.3277222908727586E-2</v>
      </c>
      <c r="D9" s="58">
        <f>HIST_IS!E15/HIST_IS!E6</f>
        <v>8.8223980021828921E-2</v>
      </c>
      <c r="E9" s="58">
        <f>HIST_IS!F15/HIST_IS!F6</f>
        <v>7.0908013017107946E-2</v>
      </c>
      <c r="F9" s="67">
        <f>HIST_IS!G15/HIST_IS!G6</f>
        <v>6.1947929080207777E-2</v>
      </c>
      <c r="G9" s="70"/>
      <c r="H9" s="64"/>
      <c r="I9" s="64"/>
      <c r="J9" s="64"/>
      <c r="K9" s="64"/>
      <c r="L9" s="64"/>
    </row>
    <row r="10" spans="1:12" ht="16.5">
      <c r="A10" s="5" t="s">
        <v>126</v>
      </c>
      <c r="B10" s="13" t="s">
        <v>122</v>
      </c>
      <c r="C10" s="13" t="s">
        <v>122</v>
      </c>
      <c r="D10" s="13" t="s">
        <v>122</v>
      </c>
      <c r="E10" s="58">
        <f>HIST_IS!F26/HIST_IS!F25</f>
        <v>0.24119573558430188</v>
      </c>
      <c r="F10" s="67">
        <f>HIST_IS!G26/HIST_IS!G25</f>
        <v>0.10628351073664193</v>
      </c>
      <c r="G10" s="70"/>
      <c r="H10" s="64"/>
      <c r="I10" s="64"/>
      <c r="J10" s="64"/>
      <c r="K10" s="64"/>
      <c r="L10" s="64"/>
    </row>
    <row r="11" spans="1:12">
      <c r="A11" s="5"/>
      <c r="B11" s="13"/>
      <c r="C11" s="5"/>
      <c r="D11" s="5"/>
      <c r="E11" s="5"/>
      <c r="F11" s="65"/>
      <c r="G11" s="70"/>
      <c r="H11" s="64"/>
      <c r="I11" s="64"/>
      <c r="J11" s="64"/>
      <c r="K11" s="64"/>
      <c r="L11" s="64"/>
    </row>
    <row r="12" spans="1:12">
      <c r="A12" s="6" t="s">
        <v>127</v>
      </c>
      <c r="B12" s="13"/>
      <c r="C12" s="5"/>
      <c r="D12" s="5"/>
      <c r="E12" s="5"/>
      <c r="F12" s="65"/>
      <c r="G12" s="70"/>
      <c r="H12" s="64"/>
      <c r="I12" s="64"/>
      <c r="J12" s="64"/>
      <c r="K12" s="64"/>
      <c r="L12" s="64"/>
    </row>
    <row r="13" spans="1:12">
      <c r="A13" s="48" t="s">
        <v>123</v>
      </c>
      <c r="B13" s="13"/>
      <c r="C13" s="5"/>
      <c r="D13" s="5"/>
      <c r="E13" s="5"/>
      <c r="F13" s="65"/>
      <c r="G13" s="70"/>
      <c r="H13" s="64"/>
      <c r="I13" s="64"/>
      <c r="J13" s="64"/>
      <c r="K13" s="64"/>
      <c r="L13" s="64"/>
    </row>
    <row r="14" spans="1:12">
      <c r="A14" s="5" t="s">
        <v>128</v>
      </c>
      <c r="B14" s="58">
        <f>HIST_BS!B14/HIST_IS!C6</f>
        <v>4.2315378756157374E-2</v>
      </c>
      <c r="C14" s="58">
        <f>HIST_BS!C14/HIST_IS!D6</f>
        <v>5.0226206092475641E-2</v>
      </c>
      <c r="D14" s="58">
        <f>HIST_BS!D14/HIST_IS!E6</f>
        <v>4.4197795971506949E-2</v>
      </c>
      <c r="E14" s="58">
        <f>HIST_BS!E14/HIST_IS!F6</f>
        <v>4.4888742916966803E-2</v>
      </c>
      <c r="F14" s="67">
        <f>HIST_BS!F14/HIST_IS!G6</f>
        <v>3.8552857805634645E-2</v>
      </c>
      <c r="G14" s="70"/>
      <c r="H14" s="64"/>
      <c r="I14" s="64"/>
      <c r="J14" s="64"/>
      <c r="K14" s="64"/>
      <c r="L14" s="64"/>
    </row>
    <row r="15" spans="1:12">
      <c r="A15" s="5" t="s">
        <v>81</v>
      </c>
      <c r="B15" s="58">
        <f>HIST_BS!B13/HIST_IS!C6</f>
        <v>0.14186047991312867</v>
      </c>
      <c r="C15" s="58">
        <f>HIST_BS!C13/HIST_IS!D6</f>
        <v>0.14296187015311565</v>
      </c>
      <c r="D15" s="58">
        <f>HIST_BS!D13/HIST_IS!E6</f>
        <v>0.12518327680725808</v>
      </c>
      <c r="E15" s="58">
        <f>HIST_BS!E13/HIST_IS!F6</f>
        <v>0.11624353269672018</v>
      </c>
      <c r="F15" s="67">
        <f>HIST_BS!F13/HIST_IS!G6</f>
        <v>0.10868121571588418</v>
      </c>
      <c r="G15" s="70"/>
      <c r="H15" s="64"/>
      <c r="I15" s="64"/>
      <c r="J15" s="64"/>
      <c r="K15" s="64"/>
      <c r="L15" s="64"/>
    </row>
    <row r="16" spans="1:12">
      <c r="A16" s="5" t="s">
        <v>129</v>
      </c>
      <c r="B16" s="58">
        <f>HIST_BS!B24/HIST_IS!C6</f>
        <v>0.22273803413650115</v>
      </c>
      <c r="C16" s="58">
        <f>HIST_BS!C24/HIST_IS!D6</f>
        <v>0.25689086196789596</v>
      </c>
      <c r="D16" s="58">
        <f>HIST_BS!D24/HIST_IS!E6</f>
        <v>0.23709158467499505</v>
      </c>
      <c r="E16" s="58">
        <f>HIST_BS!E24/HIST_IS!F6</f>
        <v>0.22593829466416371</v>
      </c>
      <c r="F16" s="67">
        <f>HIST_BS!F24/HIST_IS!G6</f>
        <v>0.21372820144277566</v>
      </c>
      <c r="G16" s="70"/>
      <c r="H16" s="64"/>
      <c r="I16" s="64"/>
      <c r="J16" s="64"/>
      <c r="K16" s="64"/>
      <c r="L16" s="64"/>
    </row>
    <row r="17" spans="1:12">
      <c r="A17" s="5"/>
      <c r="B17" s="13"/>
      <c r="C17" s="5"/>
      <c r="D17" s="5"/>
      <c r="E17" s="5"/>
      <c r="F17" s="65"/>
      <c r="G17" s="70"/>
      <c r="H17" s="64"/>
      <c r="I17" s="64"/>
      <c r="J17" s="64"/>
      <c r="K17" s="64"/>
      <c r="L17" s="64"/>
    </row>
    <row r="18" spans="1:12">
      <c r="A18" s="6" t="s">
        <v>130</v>
      </c>
      <c r="B18" s="13"/>
      <c r="C18" s="5"/>
      <c r="D18" s="5"/>
      <c r="E18" s="5"/>
      <c r="F18" s="65"/>
      <c r="G18" s="70"/>
      <c r="H18" s="64"/>
      <c r="I18" s="64"/>
      <c r="J18" s="64"/>
      <c r="K18" s="64"/>
      <c r="L18" s="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AAB0-8A3E-464D-A839-1567DCE675FF}">
  <dimension ref="A2:K22"/>
  <sheetViews>
    <sheetView topLeftCell="A3" workbookViewId="0">
      <selection activeCell="E20" sqref="E20"/>
    </sheetView>
  </sheetViews>
  <sheetFormatPr defaultRowHeight="15"/>
  <cols>
    <col min="1" max="1" width="32.140625" customWidth="1"/>
    <col min="2" max="2" width="13.42578125" customWidth="1"/>
    <col min="3" max="3" width="12.5703125" customWidth="1"/>
    <col min="4" max="4" width="13.28515625" customWidth="1"/>
    <col min="5" max="5" width="14.28515625" customWidth="1"/>
    <col min="6" max="7" width="15.28515625" customWidth="1"/>
    <col min="8" max="9" width="15.7109375" customWidth="1"/>
    <col min="10" max="10" width="17.42578125" customWidth="1"/>
    <col min="11" max="11" width="21" customWidth="1"/>
  </cols>
  <sheetData>
    <row r="2" spans="1:11" ht="30">
      <c r="A2" s="61" t="s">
        <v>131</v>
      </c>
    </row>
    <row r="3" spans="1:11" ht="30">
      <c r="A3" s="61" t="s">
        <v>132</v>
      </c>
    </row>
    <row r="4" spans="1:11">
      <c r="A4" s="6" t="s">
        <v>9</v>
      </c>
      <c r="B4" s="6" t="s">
        <v>119</v>
      </c>
      <c r="C4" s="5"/>
      <c r="D4" s="5"/>
      <c r="E4" s="5"/>
      <c r="F4" s="5"/>
      <c r="G4" s="6" t="s">
        <v>133</v>
      </c>
      <c r="H4" s="5"/>
      <c r="I4" s="5"/>
      <c r="J4" s="5"/>
      <c r="K4" s="5"/>
    </row>
    <row r="5" spans="1:11" ht="33.75">
      <c r="A5" s="13" t="s">
        <v>134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135</v>
      </c>
      <c r="H5" s="6" t="s">
        <v>136</v>
      </c>
      <c r="I5" s="6" t="s">
        <v>137</v>
      </c>
      <c r="J5" s="6" t="s">
        <v>138</v>
      </c>
      <c r="K5" s="6" t="s">
        <v>139</v>
      </c>
    </row>
    <row r="6" spans="1:11" ht="33.75">
      <c r="A6" s="6" t="s">
        <v>120</v>
      </c>
      <c r="B6" s="13" t="s">
        <v>134</v>
      </c>
      <c r="C6" s="13" t="s">
        <v>134</v>
      </c>
      <c r="D6" s="13" t="s">
        <v>134</v>
      </c>
      <c r="E6" s="13" t="s">
        <v>134</v>
      </c>
      <c r="F6" s="13" t="s">
        <v>134</v>
      </c>
      <c r="G6" s="13" t="s">
        <v>134</v>
      </c>
      <c r="H6" s="13" t="s">
        <v>134</v>
      </c>
      <c r="I6" s="13" t="s">
        <v>134</v>
      </c>
      <c r="J6" s="13" t="s">
        <v>134</v>
      </c>
      <c r="K6" s="13" t="s">
        <v>134</v>
      </c>
    </row>
    <row r="7" spans="1:11">
      <c r="A7" s="6" t="s">
        <v>121</v>
      </c>
      <c r="B7" s="6" t="s">
        <v>140</v>
      </c>
      <c r="C7" s="62">
        <v>-4.3999999999999997E-2</v>
      </c>
      <c r="D7" s="62">
        <v>0.1152</v>
      </c>
      <c r="E7" s="62">
        <v>0.24540000000000001</v>
      </c>
      <c r="F7" s="62">
        <v>0.25419999999999998</v>
      </c>
      <c r="G7" s="5" t="s">
        <v>141</v>
      </c>
      <c r="H7" s="5" t="s">
        <v>141</v>
      </c>
      <c r="I7" s="5" t="s">
        <v>141</v>
      </c>
      <c r="J7" s="5" t="s">
        <v>141</v>
      </c>
      <c r="K7" s="5" t="s">
        <v>141</v>
      </c>
    </row>
    <row r="8" spans="1:11" ht="33.75">
      <c r="A8" s="13" t="s">
        <v>134</v>
      </c>
      <c r="B8" s="13" t="s">
        <v>134</v>
      </c>
      <c r="C8" s="13" t="s">
        <v>134</v>
      </c>
      <c r="D8" s="13" t="s">
        <v>134</v>
      </c>
      <c r="E8" s="13" t="s">
        <v>134</v>
      </c>
      <c r="F8" s="13" t="s">
        <v>134</v>
      </c>
      <c r="G8" s="13" t="s">
        <v>134</v>
      </c>
      <c r="H8" s="13" t="s">
        <v>134</v>
      </c>
      <c r="I8" s="13" t="s">
        <v>134</v>
      </c>
      <c r="J8" s="13" t="s">
        <v>134</v>
      </c>
      <c r="K8" s="13" t="s">
        <v>134</v>
      </c>
    </row>
    <row r="9" spans="1:11" ht="33.75">
      <c r="A9" s="63" t="s">
        <v>123</v>
      </c>
      <c r="B9" s="13" t="s">
        <v>134</v>
      </c>
      <c r="C9" s="13" t="s">
        <v>134</v>
      </c>
      <c r="D9" s="13" t="s">
        <v>134</v>
      </c>
      <c r="E9" s="13" t="s">
        <v>134</v>
      </c>
      <c r="F9" s="13" t="s">
        <v>134</v>
      </c>
      <c r="G9" s="13" t="s">
        <v>134</v>
      </c>
      <c r="H9" s="13" t="s">
        <v>134</v>
      </c>
      <c r="I9" s="13" t="s">
        <v>134</v>
      </c>
      <c r="J9" s="13" t="s">
        <v>134</v>
      </c>
      <c r="K9" s="13" t="s">
        <v>134</v>
      </c>
    </row>
    <row r="10" spans="1:11">
      <c r="A10" s="5" t="s">
        <v>124</v>
      </c>
      <c r="B10" s="57">
        <v>0.67849999999999999</v>
      </c>
      <c r="C10" s="57">
        <v>0.62719999999999998</v>
      </c>
      <c r="D10" s="57">
        <v>0.63790000000000002</v>
      </c>
      <c r="E10" s="57">
        <v>0.64390000000000003</v>
      </c>
      <c r="F10" s="57">
        <v>0.62029999999999996</v>
      </c>
      <c r="G10" s="5" t="s">
        <v>141</v>
      </c>
      <c r="H10" s="5" t="s">
        <v>141</v>
      </c>
      <c r="I10" s="5" t="s">
        <v>141</v>
      </c>
      <c r="J10" s="5" t="s">
        <v>141</v>
      </c>
      <c r="K10" s="5" t="s">
        <v>141</v>
      </c>
    </row>
    <row r="11" spans="1:11">
      <c r="A11" s="5" t="s">
        <v>142</v>
      </c>
      <c r="B11" s="57">
        <v>0.33150000000000002</v>
      </c>
      <c r="C11" s="57">
        <v>0.27160000000000001</v>
      </c>
      <c r="D11" s="57">
        <v>0.27689999999999998</v>
      </c>
      <c r="E11" s="57">
        <v>0.2722</v>
      </c>
      <c r="F11" s="57">
        <v>0.27110000000000001</v>
      </c>
      <c r="G11" s="5" t="s">
        <v>141</v>
      </c>
      <c r="H11" s="5" t="s">
        <v>141</v>
      </c>
      <c r="I11" s="5" t="s">
        <v>141</v>
      </c>
      <c r="J11" s="5" t="s">
        <v>141</v>
      </c>
      <c r="K11" s="5" t="s">
        <v>141</v>
      </c>
    </row>
    <row r="12" spans="1:11">
      <c r="A12" s="5" t="s">
        <v>125</v>
      </c>
      <c r="B12" s="57">
        <v>9.0700000000000003E-2</v>
      </c>
      <c r="C12" s="57">
        <v>9.3299999999999994E-2</v>
      </c>
      <c r="D12" s="57">
        <v>8.8200000000000001E-2</v>
      </c>
      <c r="E12" s="57">
        <v>7.0900000000000005E-2</v>
      </c>
      <c r="F12" s="57">
        <v>6.2E-2</v>
      </c>
      <c r="G12" s="5" t="s">
        <v>141</v>
      </c>
      <c r="H12" s="5" t="s">
        <v>141</v>
      </c>
      <c r="I12" s="5" t="s">
        <v>141</v>
      </c>
      <c r="J12" s="5" t="s">
        <v>141</v>
      </c>
      <c r="K12" s="5" t="s">
        <v>141</v>
      </c>
    </row>
    <row r="13" spans="1:11" ht="33.75">
      <c r="A13" s="13" t="s">
        <v>134</v>
      </c>
      <c r="B13" s="13" t="s">
        <v>134</v>
      </c>
      <c r="C13" s="13" t="s">
        <v>134</v>
      </c>
      <c r="D13" s="13" t="s">
        <v>134</v>
      </c>
      <c r="E13" s="13" t="s">
        <v>134</v>
      </c>
      <c r="F13" s="13" t="s">
        <v>134</v>
      </c>
      <c r="G13" s="13" t="s">
        <v>134</v>
      </c>
      <c r="H13" s="13" t="s">
        <v>134</v>
      </c>
      <c r="I13" s="13" t="s">
        <v>134</v>
      </c>
      <c r="J13" s="13" t="s">
        <v>134</v>
      </c>
      <c r="K13" s="13" t="s">
        <v>134</v>
      </c>
    </row>
    <row r="14" spans="1:11">
      <c r="A14" s="6" t="s">
        <v>143</v>
      </c>
      <c r="B14" s="6" t="s">
        <v>140</v>
      </c>
      <c r="C14" s="6" t="s">
        <v>140</v>
      </c>
      <c r="D14" s="6" t="s">
        <v>140</v>
      </c>
      <c r="E14" s="6" t="s">
        <v>140</v>
      </c>
      <c r="F14" s="62">
        <v>-0.31109999999999999</v>
      </c>
      <c r="G14" s="5" t="s">
        <v>141</v>
      </c>
      <c r="H14" s="5" t="s">
        <v>141</v>
      </c>
      <c r="I14" s="5" t="s">
        <v>141</v>
      </c>
      <c r="J14" s="5" t="s">
        <v>141</v>
      </c>
      <c r="K14" s="5" t="s">
        <v>141</v>
      </c>
    </row>
    <row r="15" spans="1:11" ht="33.75">
      <c r="A15" s="13" t="s">
        <v>134</v>
      </c>
      <c r="B15" s="13" t="s">
        <v>134</v>
      </c>
      <c r="C15" s="13" t="s">
        <v>134</v>
      </c>
      <c r="D15" s="13" t="s">
        <v>134</v>
      </c>
      <c r="E15" s="13" t="s">
        <v>134</v>
      </c>
      <c r="F15" s="13" t="s">
        <v>134</v>
      </c>
      <c r="G15" s="13" t="s">
        <v>134</v>
      </c>
      <c r="H15" s="13" t="s">
        <v>134</v>
      </c>
      <c r="I15" s="13" t="s">
        <v>134</v>
      </c>
      <c r="J15" s="13" t="s">
        <v>134</v>
      </c>
      <c r="K15" s="13" t="s">
        <v>134</v>
      </c>
    </row>
    <row r="16" spans="1:11" ht="33.75">
      <c r="A16" s="6" t="s">
        <v>144</v>
      </c>
      <c r="B16" s="13" t="s">
        <v>134</v>
      </c>
      <c r="C16" s="13" t="s">
        <v>134</v>
      </c>
      <c r="D16" s="13" t="s">
        <v>134</v>
      </c>
      <c r="E16" s="13" t="s">
        <v>134</v>
      </c>
      <c r="F16" s="13" t="s">
        <v>134</v>
      </c>
      <c r="G16" s="13" t="s">
        <v>134</v>
      </c>
      <c r="H16" s="13" t="s">
        <v>134</v>
      </c>
      <c r="I16" s="13" t="s">
        <v>134</v>
      </c>
      <c r="J16" s="13" t="s">
        <v>134</v>
      </c>
      <c r="K16" s="13" t="s">
        <v>134</v>
      </c>
    </row>
    <row r="17" spans="1:11">
      <c r="A17" s="6" t="s">
        <v>145</v>
      </c>
      <c r="B17" s="62">
        <v>0.1135</v>
      </c>
      <c r="C17" s="62">
        <v>7.8600000000000003E-2</v>
      </c>
      <c r="D17" s="62">
        <v>8.6900000000000005E-2</v>
      </c>
      <c r="E17" s="62">
        <v>7.7899999999999997E-2</v>
      </c>
      <c r="F17" s="62">
        <v>7.1400000000000005E-2</v>
      </c>
      <c r="G17" s="5" t="s">
        <v>141</v>
      </c>
      <c r="H17" s="5" t="s">
        <v>141</v>
      </c>
      <c r="I17" s="5" t="s">
        <v>141</v>
      </c>
      <c r="J17" s="5" t="s">
        <v>141</v>
      </c>
      <c r="K17" s="5" t="s">
        <v>141</v>
      </c>
    </row>
    <row r="18" spans="1:11" ht="33.75">
      <c r="A18" s="13" t="s">
        <v>134</v>
      </c>
      <c r="B18" s="13" t="s">
        <v>134</v>
      </c>
      <c r="C18" s="13" t="s">
        <v>134</v>
      </c>
      <c r="D18" s="13" t="s">
        <v>134</v>
      </c>
      <c r="E18" s="13" t="s">
        <v>134</v>
      </c>
      <c r="F18" s="13" t="s">
        <v>134</v>
      </c>
      <c r="G18" s="13" t="s">
        <v>134</v>
      </c>
      <c r="H18" s="13" t="s">
        <v>134</v>
      </c>
      <c r="I18" s="13" t="s">
        <v>134</v>
      </c>
      <c r="J18" s="13" t="s">
        <v>134</v>
      </c>
      <c r="K18" s="13" t="s">
        <v>134</v>
      </c>
    </row>
    <row r="19" spans="1:11" ht="33.75">
      <c r="A19" s="6" t="s">
        <v>146</v>
      </c>
      <c r="B19" s="13" t="s">
        <v>134</v>
      </c>
      <c r="C19" s="13" t="s">
        <v>134</v>
      </c>
      <c r="D19" s="13" t="s">
        <v>134</v>
      </c>
      <c r="E19" s="13" t="s">
        <v>134</v>
      </c>
      <c r="F19" s="13" t="s">
        <v>134</v>
      </c>
      <c r="G19" s="13" t="s">
        <v>134</v>
      </c>
      <c r="H19" s="13" t="s">
        <v>134</v>
      </c>
      <c r="I19" s="13" t="s">
        <v>134</v>
      </c>
      <c r="J19" s="13" t="s">
        <v>134</v>
      </c>
      <c r="K19" s="13" t="s">
        <v>134</v>
      </c>
    </row>
    <row r="20" spans="1:11">
      <c r="A20" s="6" t="s">
        <v>147</v>
      </c>
      <c r="B20" s="6">
        <v>19.68</v>
      </c>
      <c r="C20" s="6">
        <v>22.09</v>
      </c>
      <c r="D20" s="6">
        <v>24.22</v>
      </c>
      <c r="E20" s="6">
        <v>24.57</v>
      </c>
      <c r="F20" s="6">
        <v>22.5</v>
      </c>
      <c r="G20" s="5" t="s">
        <v>141</v>
      </c>
      <c r="H20" s="5" t="s">
        <v>141</v>
      </c>
      <c r="I20" s="5" t="s">
        <v>141</v>
      </c>
      <c r="J20" s="5" t="s">
        <v>141</v>
      </c>
      <c r="K20" s="5" t="s">
        <v>141</v>
      </c>
    </row>
    <row r="21" spans="1:11">
      <c r="A21" s="6" t="s">
        <v>148</v>
      </c>
      <c r="B21" s="6">
        <v>74.83</v>
      </c>
      <c r="C21" s="6">
        <v>81.010000000000005</v>
      </c>
      <c r="D21" s="6">
        <v>89.81</v>
      </c>
      <c r="E21" s="6">
        <v>77.540000000000006</v>
      </c>
      <c r="F21" s="6">
        <v>64.97</v>
      </c>
      <c r="G21" s="5" t="s">
        <v>141</v>
      </c>
      <c r="H21" s="5" t="s">
        <v>141</v>
      </c>
      <c r="I21" s="5" t="s">
        <v>141</v>
      </c>
      <c r="J21" s="5" t="s">
        <v>141</v>
      </c>
      <c r="K21" s="5" t="s">
        <v>141</v>
      </c>
    </row>
    <row r="22" spans="1:11">
      <c r="A22" s="6" t="s">
        <v>149</v>
      </c>
      <c r="B22" s="6">
        <v>85.2</v>
      </c>
      <c r="C22" s="6">
        <v>104.93</v>
      </c>
      <c r="D22" s="6">
        <v>115.18</v>
      </c>
      <c r="E22" s="6">
        <v>92.99</v>
      </c>
      <c r="F22" s="6">
        <v>82.8</v>
      </c>
      <c r="G22" s="5" t="s">
        <v>141</v>
      </c>
      <c r="H22" s="5" t="s">
        <v>141</v>
      </c>
      <c r="I22" s="5" t="s">
        <v>141</v>
      </c>
      <c r="J22" s="5" t="s">
        <v>141</v>
      </c>
      <c r="K22" s="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2FC3-BAAC-4873-8674-E84B6CCAFB9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2025-11-05T04:45:18Z</dcterms:created>
  <dcterms:modified xsi:type="dcterms:W3CDTF">2025-11-06T05:54:48Z</dcterms:modified>
  <cp:category/>
  <cp:contentStatus/>
</cp:coreProperties>
</file>